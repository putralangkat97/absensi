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anggit\Documents\absen\"/>
    </mc:Choice>
  </mc:AlternateContent>
  <xr:revisionPtr revIDLastSave="0" documentId="13_ncr:1_{1310801A-EC35-460E-8356-3882AD47CC2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24 Juli - 23 Agustus 2026" sheetId="1" r:id="rId1"/>
    <sheet name="12 Juli - 11 Agustus 2023" sheetId="3" state="hidden" r:id="rId2"/>
    <sheet name="12 September - 11 Oktober 2023" sheetId="5" state="hidden" r:id="rId3"/>
  </sheets>
  <calcPr calcId="191029"/>
</workbook>
</file>

<file path=xl/calcChain.xml><?xml version="1.0" encoding="utf-8"?>
<calcChain xmlns="http://schemas.openxmlformats.org/spreadsheetml/2006/main">
  <c r="G37" i="1" l="1"/>
  <c r="G36" i="1"/>
  <c r="G35" i="1"/>
  <c r="G34" i="1"/>
  <c r="G30" i="1"/>
  <c r="G29" i="1"/>
  <c r="G28" i="1"/>
  <c r="G27" i="1"/>
  <c r="G26" i="1"/>
  <c r="G23" i="1"/>
  <c r="G22" i="1"/>
  <c r="G21" i="1"/>
  <c r="G20" i="1"/>
  <c r="G19" i="1"/>
  <c r="G12" i="1"/>
  <c r="G13" i="1"/>
  <c r="G14" i="1"/>
  <c r="G15" i="1"/>
  <c r="G16" i="1"/>
  <c r="G9" i="1"/>
  <c r="G47" i="5"/>
  <c r="G39" i="5"/>
  <c r="G50" i="5" s="1"/>
  <c r="G51" i="5" s="1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52" i="3"/>
  <c r="G51" i="3"/>
  <c r="G50" i="3"/>
  <c r="G48" i="3"/>
  <c r="G40" i="3"/>
  <c r="G53" i="1"/>
  <c r="G51" i="1"/>
  <c r="G43" i="1" l="1"/>
  <c r="G54" i="1" s="1"/>
  <c r="G55" i="1" s="1"/>
</calcChain>
</file>

<file path=xl/sharedStrings.xml><?xml version="1.0" encoding="utf-8"?>
<sst xmlns="http://schemas.openxmlformats.org/spreadsheetml/2006/main" count="383" uniqueCount="154">
  <si>
    <t>Lokasi Penempatan</t>
  </si>
  <si>
    <t>Periode</t>
  </si>
  <si>
    <t>Nama</t>
  </si>
  <si>
    <t>PT. Adi Data Informatika</t>
  </si>
  <si>
    <t>NRIK</t>
  </si>
  <si>
    <t>Tanggal</t>
  </si>
  <si>
    <t>Jam Kerja</t>
  </si>
  <si>
    <t>Absen</t>
  </si>
  <si>
    <t>Total Jam Kerja</t>
  </si>
  <si>
    <t>Keterangan</t>
  </si>
  <si>
    <t>Nama Project</t>
  </si>
  <si>
    <t>Deskripsi Pekerjaan</t>
  </si>
  <si>
    <t>-</t>
  </si>
  <si>
    <t>Total</t>
  </si>
  <si>
    <t>Hasil Kerja :</t>
  </si>
  <si>
    <t>Pernyataan Pegawai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</si>
  <si>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</si>
  <si>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t>Time report ini saya buat dengan sungguh-sungguh dan sebenarnya sesuai dengan nilai-nilai etika dan profesionalisme perusahaan.</t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</si>
  <si>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</si>
  <si>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</si>
  <si>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</si>
  <si>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t>Penilaian User</t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</si>
  <si>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</si>
  <si>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t>Performa karyawan bulan ini</t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</si>
  <si>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</si>
  <si>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</si>
  <si>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t>Sasaran &amp; Hasil Kerja</t>
  </si>
  <si>
    <t>Kompetensi Mendukung</t>
  </si>
  <si>
    <t>Kedisiplinan</t>
  </si>
  <si>
    <t>Sangat Memuaskan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</si>
  <si>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</si>
  <si>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t>Memuaskan</t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</si>
  <si>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</si>
  <si>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t>Tidak Memuaskan</t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</si>
  <si>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</si>
  <si>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Sangat Tidak Memuaskan</t>
  </si>
  <si>
    <t>Tanda Tangan Pegawai</t>
  </si>
  <si>
    <t>Diperiksa Oleh</t>
  </si>
  <si>
    <t>Disetujui Oleh</t>
  </si>
  <si>
    <t>Grup IT Application Development</t>
  </si>
  <si>
    <t>Jakarta</t>
  </si>
  <si>
    <t>(Amelia Puspita)</t>
  </si>
  <si>
    <t>(Anggisesa Jalulaga)</t>
  </si>
  <si>
    <t>HR PT Adi Data Informatika</t>
  </si>
  <si>
    <t>Team Leader Channel Development</t>
  </si>
  <si>
    <t>Pemimpin</t>
  </si>
  <si>
    <t>PT. Bank DKI Suryo Pranoto</t>
  </si>
  <si>
    <t>12 Juli 2023 s.d 11 Agustus 2023</t>
  </si>
  <si>
    <t>Khafifah Aprilia</t>
  </si>
  <si>
    <t>PT. Darbeni Bangunkarya</t>
  </si>
  <si>
    <t>12 July 2023</t>
  </si>
  <si>
    <t>Masuk</t>
  </si>
  <si>
    <t>Pembuatan Library Script IT QA</t>
  </si>
  <si>
    <t>13 July 2023</t>
  </si>
  <si>
    <t>Mempelajari flowchart aplikasi E-Office Phase II</t>
  </si>
  <si>
    <t>14 July 2023</t>
  </si>
  <si>
    <t>Pembuatan Percentage Progress di Timeline IT QA Core 2023</t>
  </si>
  <si>
    <t>15 July 2023</t>
  </si>
  <si>
    <t>16 July 2023</t>
  </si>
  <si>
    <t>17 July 2023</t>
  </si>
  <si>
    <t>18 July 2023</t>
  </si>
  <si>
    <t>Pembuatan flowchart aplikasi E-Office Phase II</t>
  </si>
  <si>
    <t>19 July 2023</t>
  </si>
  <si>
    <t>20 July 2023</t>
  </si>
  <si>
    <t>21 July 2023</t>
  </si>
  <si>
    <t>22 July 2023</t>
  </si>
  <si>
    <t>23 July 2023</t>
  </si>
  <si>
    <t>24 July 2023</t>
  </si>
  <si>
    <t>Update time line, summary da pracentage project</t>
  </si>
  <si>
    <t>25 July 2023</t>
  </si>
  <si>
    <t>26 July 2023</t>
  </si>
  <si>
    <t>27 July 2023</t>
  </si>
  <si>
    <t>Analisis UAT Aplikasi E-Recruitment Phase II</t>
  </si>
  <si>
    <t>28 July 2023</t>
  </si>
  <si>
    <t>Melakukan UAT Aplikasi E-Recruitment Phase II</t>
  </si>
  <si>
    <t>29 July 2023</t>
  </si>
  <si>
    <t>30 July 2023</t>
  </si>
  <si>
    <t>31 July 2023</t>
  </si>
  <si>
    <t>Melakukan SIT Aplikasi Portal Reporting Management System (RMS) Tahap II</t>
  </si>
  <si>
    <t>01 August 2023</t>
  </si>
  <si>
    <t>Pembuatan Script UAT Aplikasi Portal Reporting Management Ssytem (RMS) Tahap II</t>
  </si>
  <si>
    <t>02 August 2023</t>
  </si>
  <si>
    <t>Melakukan UAT Aplikasi Portal Reporting Management Ssytem (RMS) Tahap II</t>
  </si>
  <si>
    <t>03 August 2023</t>
  </si>
  <si>
    <t>Melakukan Sign Paralel UAT Aplikasi Portal Reporting Management Ssytem (RMS) Tahap II dan Aplikasi E-Recuitment Tahap II</t>
  </si>
  <si>
    <t>04 August 2023</t>
  </si>
  <si>
    <t>Pembuatan Perhitungan Scoring pada time line IT QA 2023</t>
  </si>
  <si>
    <t>05 August 2023</t>
  </si>
  <si>
    <t>06 August 2023</t>
  </si>
  <si>
    <t>07 August 2023</t>
  </si>
  <si>
    <t>Update Scoring pada time line IT QA 2023</t>
  </si>
  <si>
    <t>08 August 2023</t>
  </si>
  <si>
    <t>09 August 2023</t>
  </si>
  <si>
    <t>10 August 2023</t>
  </si>
  <si>
    <t>Pembuatan Time line IT QA Ccore &amp; Application Support</t>
  </si>
  <si>
    <t>11 August 2023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</si>
  <si>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</si>
  <si>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</si>
  <si>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</si>
  <si>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</si>
  <si>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</si>
  <si>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</si>
  <si>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</si>
  <si>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</si>
  <si>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</si>
  <si>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</si>
  <si>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Dept.____________________________</t>
  </si>
  <si>
    <t>( Khafifah Aprilia)</t>
  </si>
  <si>
    <t>(Idris Bahrul Ilmi)</t>
  </si>
  <si>
    <t>(Pramono)</t>
  </si>
  <si>
    <t>(_________________________________)</t>
  </si>
  <si>
    <t>Staff SDM</t>
  </si>
  <si>
    <t>Manager SDM</t>
  </si>
  <si>
    <t>Pemimpin Department</t>
  </si>
  <si>
    <t xml:space="preserve">Masuk </t>
  </si>
  <si>
    <t>Sakit</t>
  </si>
  <si>
    <t>12 September s.d 11 Oktober 2023</t>
  </si>
  <si>
    <t>1. Melakukan document capture Aplikasi Portal PMK Hapus Buku Phase III
2. Penyusunan Summary dari Library Script IT QA Core Application &amp; Support 
3. Update Update Summary dan rincian IT QA Core Application &amp; Support</t>
  </si>
  <si>
    <t>1. Melakukan Re-UAT Aplikasi Portal PMK Hapus Buku Phase III
2. Update Flow Library Script UAT
3. Upadate Rekapan Absen Kehadiran an Khafifah Aprilia</t>
  </si>
  <si>
    <t>1. Penyusunan Summary dari Library Script  IT QA Core Application &amp; Support
2. Pembuatan BA UAT Aplikasi PMK Hapus Buku Phase III</t>
  </si>
  <si>
    <t>1. Penyusunan Summary dari Library Script IT QA Core Application &amp; Support
2. Update Summary dan rincian IT QA Core Application &amp; Support</t>
  </si>
  <si>
    <t xml:space="preserve">1. Penyusunan Rincian Script dari Library Script IT QA Core Application &amp; Support </t>
  </si>
  <si>
    <t>Izin</t>
  </si>
  <si>
    <t>Izin terkait bimbingan skripsi di kampus</t>
  </si>
  <si>
    <t>1. Penyusunan Rincian Script dari Library Script IT QA Core Application &amp; Support 
2. Melengkapi Rekapan Absen Kehadiran an Khafifah Aprilia</t>
  </si>
  <si>
    <t>1. Penyusunan Summary dari Library Script  IT QA Core Application &amp; Support
2. Update Summary dan rincian IT QA Core Application &amp; Support</t>
  </si>
  <si>
    <t>1. Penyusunan Rincian Script dari Library Script IT QA Core Application &amp; Support 
2. Update summery dan rincian IT QA Core Application &amp; Support</t>
  </si>
  <si>
    <t>1. Penyusunan Rincian Script dari Library Script IT QA Core Application &amp; Support 
2. Update Tme Line IT QA Core Application &amp; Support</t>
  </si>
  <si>
    <t xml:space="preserve">1. Penyusunan Rincian Script dari Library Script IT QA Core Application &amp; Support 
</t>
  </si>
  <si>
    <t xml:space="preserve">1. Penyusunan Rincian Script dari Library Script IT QA Core Application &amp; Support 
2. Menganalisis BRD Project Pengembangan sistem Penilaian Risiko Nasabah Akhir pada Core Banking Sistem
3. Menganlisis BRD Project Sistem abtrian cabang
</t>
  </si>
  <si>
    <t xml:space="preserve">sakit terkait penyakit maag kambuh </t>
  </si>
  <si>
    <t>1. Update Summary dan rincian IT QA Core Application &amp; Support
2. Pembuatan Skrip UAT project Pengembangan sistem Penilaian Risiko Nasabah Akhir pada Core Banking Sistem</t>
  </si>
  <si>
    <t>x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</si>
  <si>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</si>
  <si>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</si>
  <si>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</si>
  <si>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</si>
  <si>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</si>
  <si>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</si>
  <si>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</si>
  <si>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</si>
  <si>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</si>
  <si>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</si>
  <si>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(    Khafifah Aprilia    )</t>
  </si>
  <si>
    <t>Bank Jakarta Suryopranoto 1</t>
  </si>
  <si>
    <t>(Mita Wijaya)</t>
  </si>
  <si>
    <t>Anggit Ari Utomo</t>
  </si>
  <si>
    <t>sabtu</t>
  </si>
  <si>
    <t>minggu</t>
  </si>
  <si>
    <t>E-Form BDS</t>
  </si>
  <si>
    <t>Post production monitoring E-Form BDS</t>
  </si>
  <si>
    <t>(Anggit Ari Utomo)</t>
  </si>
  <si>
    <t>24 Juli s.d 23 Agustus 2026</t>
  </si>
  <si>
    <t>17 Agustus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</si>
</sst>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-mmm\-yy"/>
    <numFmt numFmtId="165" formatCode="[$-F800]dddd\,\ mmmm\ dd\,\ yyyy"/>
    <numFmt numFmtId="166" formatCode="m/d/yyyy"/>
  </numFmts>
  <fonts count="19">
    <font>
      <sz val="11"/>
      <color rgb="FF000000"/>
      <name val="Calibri"/>
      <scheme val="minor"/>
    </font>
    <font>
      <sz val="11"/>
      <color rgb="FF000000"/>
      <name val="Calibri"/>
    </font>
    <font>
      <sz val="11"/>
      <name val="Calibri"/>
    </font>
    <font>
      <b/>
      <sz val="11"/>
      <color rgb="FF000000"/>
      <name val="Calibri"/>
    </font>
    <font>
      <b/>
      <u/>
      <sz val="11"/>
      <color rgb="FF000000"/>
      <name val="Calibri"/>
    </font>
    <font>
      <sz val="12"/>
      <color rgb="FF000000"/>
      <name val="Calibri"/>
    </font>
    <font>
      <b/>
      <u/>
      <sz val="12"/>
      <color rgb="FF000000"/>
      <name val="Calibri"/>
    </font>
    <font>
      <b/>
      <u/>
      <sz val="11"/>
      <color rgb="FF000000"/>
      <name val="Calibri"/>
    </font>
    <font>
      <b/>
      <i/>
      <sz val="11"/>
      <color rgb="FF000000"/>
      <name val="Calibri"/>
    </font>
    <font>
      <i/>
      <sz val="11"/>
      <color rgb="FF000000"/>
      <name val="Calibri"/>
    </font>
    <font>
      <b/>
      <u/>
      <sz val="11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1"/>
      <color rgb="FF000000"/>
      <name val="Calibri"/>
    </font>
    <font>
      <sz val="7"/>
      <color rgb="FF000000"/>
      <name val="Times New Roman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7C80"/>
        <bgColor indexed="64"/>
      </patternFill>
    </fill>
    <fill>
      <patternFill patternType="solid">
        <fgColor theme="9" tint="0.59999389629810485"/>
        <bgColor indexed="64"/>
      </patternFill>
    </fill>
  </fills>
  <borders count="6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00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46" fontId="1" fillId="0" borderId="28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1" fillId="0" borderId="34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20" fontId="1" fillId="0" borderId="9" xfId="0" applyNumberFormat="1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6" fontId="1" fillId="0" borderId="9" xfId="0" applyNumberFormat="1" applyFont="1" applyBorder="1" applyAlignment="1">
      <alignment horizontal="center" vertical="center"/>
    </xf>
    <xf numFmtId="46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5" fillId="0" borderId="5" xfId="0" applyFont="1" applyBorder="1" applyAlignment="1">
      <alignment vertical="center"/>
    </xf>
    <xf numFmtId="0" fontId="1" fillId="0" borderId="6" xfId="0" applyFont="1" applyBorder="1" applyAlignment="1">
      <alignment horizontal="left" vertical="center"/>
    </xf>
    <xf numFmtId="0" fontId="5" fillId="0" borderId="0" xfId="0" applyFont="1" applyAlignment="1">
      <alignment vertical="center" wrapText="1"/>
    </xf>
    <xf numFmtId="0" fontId="1" fillId="0" borderId="44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9" fontId="5" fillId="0" borderId="44" xfId="0" applyNumberFormat="1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47" xfId="0" applyFont="1" applyBorder="1" applyAlignment="1">
      <alignment horizontal="left" vertical="center"/>
    </xf>
    <xf numFmtId="0" fontId="1" fillId="0" borderId="45" xfId="0" applyFont="1" applyBorder="1" applyAlignment="1">
      <alignment horizontal="left" vertical="center"/>
    </xf>
    <xf numFmtId="0" fontId="1" fillId="0" borderId="32" xfId="0" applyFont="1" applyBorder="1" applyAlignment="1">
      <alignment horizontal="center" vertical="center"/>
    </xf>
    <xf numFmtId="9" fontId="1" fillId="0" borderId="48" xfId="0" applyNumberFormat="1" applyFont="1" applyBorder="1" applyAlignment="1">
      <alignment horizontal="center" vertical="center"/>
    </xf>
    <xf numFmtId="0" fontId="1" fillId="0" borderId="33" xfId="0" applyFont="1" applyBorder="1" applyAlignment="1">
      <alignment horizontal="left" vertical="center"/>
    </xf>
    <xf numFmtId="0" fontId="1" fillId="0" borderId="32" xfId="0" applyFont="1" applyBorder="1" applyAlignment="1">
      <alignment horizontal="left" vertical="center"/>
    </xf>
    <xf numFmtId="0" fontId="1" fillId="0" borderId="49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164" fontId="9" fillId="0" borderId="6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6" xfId="0" applyFont="1" applyBorder="1" applyAlignment="1">
      <alignment vertical="center"/>
    </xf>
    <xf numFmtId="0" fontId="1" fillId="0" borderId="45" xfId="0" applyFont="1" applyBorder="1" applyAlignment="1">
      <alignment vertical="center"/>
    </xf>
    <xf numFmtId="0" fontId="1" fillId="0" borderId="28" xfId="0" applyFont="1" applyBorder="1" applyAlignment="1">
      <alignment horizontal="center" vertical="center"/>
    </xf>
    <xf numFmtId="46" fontId="1" fillId="0" borderId="55" xfId="0" applyNumberFormat="1" applyFont="1" applyBorder="1" applyAlignment="1">
      <alignment horizontal="center" vertical="center"/>
    </xf>
    <xf numFmtId="0" fontId="1" fillId="2" borderId="57" xfId="0" applyFont="1" applyFill="1" applyBorder="1" applyAlignment="1">
      <alignment horizontal="center" vertical="center"/>
    </xf>
    <xf numFmtId="21" fontId="1" fillId="0" borderId="13" xfId="0" applyNumberFormat="1" applyFont="1" applyBorder="1" applyAlignment="1">
      <alignment horizontal="center" vertical="center"/>
    </xf>
    <xf numFmtId="20" fontId="1" fillId="0" borderId="12" xfId="0" applyNumberFormat="1" applyFont="1" applyBorder="1" applyAlignment="1">
      <alignment horizontal="center" vertical="center"/>
    </xf>
    <xf numFmtId="20" fontId="1" fillId="3" borderId="17" xfId="0" applyNumberFormat="1" applyFont="1" applyFill="1" applyBorder="1" applyAlignment="1">
      <alignment horizontal="center" vertical="center"/>
    </xf>
    <xf numFmtId="20" fontId="1" fillId="3" borderId="58" xfId="0" applyNumberFormat="1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21" fontId="1" fillId="0" borderId="9" xfId="0" applyNumberFormat="1" applyFont="1" applyBorder="1" applyAlignment="1">
      <alignment horizontal="center" vertical="center"/>
    </xf>
    <xf numFmtId="20" fontId="1" fillId="0" borderId="8" xfId="0" applyNumberFormat="1" applyFont="1" applyBorder="1" applyAlignment="1">
      <alignment horizontal="center" vertical="center"/>
    </xf>
    <xf numFmtId="20" fontId="1" fillId="3" borderId="39" xfId="0" applyNumberFormat="1" applyFont="1" applyFill="1" applyBorder="1" applyAlignment="1">
      <alignment horizontal="center" vertical="center"/>
    </xf>
    <xf numFmtId="20" fontId="1" fillId="3" borderId="38" xfId="0" applyNumberFormat="1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/>
    </xf>
    <xf numFmtId="20" fontId="1" fillId="2" borderId="38" xfId="0" applyNumberFormat="1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20" fontId="1" fillId="3" borderId="59" xfId="0" applyNumberFormat="1" applyFont="1" applyFill="1" applyBorder="1" applyAlignment="1">
      <alignment horizontal="center" vertical="center"/>
    </xf>
    <xf numFmtId="0" fontId="1" fillId="2" borderId="60" xfId="0" applyFont="1" applyFill="1" applyBorder="1" applyAlignment="1">
      <alignment horizontal="center" vertical="center"/>
    </xf>
    <xf numFmtId="21" fontId="1" fillId="0" borderId="50" xfId="0" applyNumberFormat="1" applyFont="1" applyBorder="1" applyAlignment="1">
      <alignment horizontal="center" vertical="center"/>
    </xf>
    <xf numFmtId="20" fontId="1" fillId="0" borderId="50" xfId="0" applyNumberFormat="1" applyFont="1" applyBorder="1" applyAlignment="1">
      <alignment horizontal="center" vertical="center"/>
    </xf>
    <xf numFmtId="20" fontId="1" fillId="3" borderId="61" xfId="0" applyNumberFormat="1" applyFont="1" applyFill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2" fillId="0" borderId="2" xfId="0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165" fontId="1" fillId="0" borderId="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left" vertical="center"/>
    </xf>
    <xf numFmtId="166" fontId="1" fillId="4" borderId="57" xfId="0" applyNumberFormat="1" applyFont="1" applyFill="1" applyBorder="1" applyAlignment="1">
      <alignment horizontal="center" vertical="center"/>
    </xf>
    <xf numFmtId="20" fontId="1" fillId="2" borderId="17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6" fontId="1" fillId="0" borderId="17" xfId="0" applyNumberFormat="1" applyFont="1" applyBorder="1" applyAlignment="1">
      <alignment horizontal="center" vertical="center"/>
    </xf>
    <xf numFmtId="46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46" fontId="1" fillId="0" borderId="17" xfId="0" applyNumberFormat="1" applyFont="1" applyBorder="1" applyAlignment="1">
      <alignment horizontal="center" vertical="center" wrapText="1"/>
    </xf>
    <xf numFmtId="46" fontId="1" fillId="0" borderId="11" xfId="0" applyNumberFormat="1" applyFont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166" fontId="1" fillId="0" borderId="57" xfId="0" applyNumberFormat="1" applyFont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164" fontId="1" fillId="5" borderId="34" xfId="0" applyNumberFormat="1" applyFont="1" applyFill="1" applyBorder="1" applyAlignment="1">
      <alignment horizontal="center" vertical="center"/>
    </xf>
    <xf numFmtId="46" fontId="1" fillId="5" borderId="28" xfId="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20" fontId="1" fillId="0" borderId="38" xfId="0" applyNumberFormat="1" applyFont="1" applyBorder="1" applyAlignment="1">
      <alignment horizontal="center" vertical="center"/>
    </xf>
    <xf numFmtId="20" fontId="1" fillId="5" borderId="38" xfId="0" applyNumberFormat="1" applyFont="1" applyFill="1" applyBorder="1" applyAlignment="1">
      <alignment horizontal="center" vertical="center"/>
    </xf>
    <xf numFmtId="0" fontId="1" fillId="5" borderId="38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top" wrapText="1"/>
    </xf>
    <xf numFmtId="0" fontId="2" fillId="5" borderId="63" xfId="0" applyFont="1" applyFill="1" applyBorder="1" applyAlignment="1">
      <alignment horizontal="center" vertical="center"/>
    </xf>
    <xf numFmtId="0" fontId="2" fillId="5" borderId="64" xfId="0" applyFont="1" applyFill="1" applyBorder="1" applyAlignment="1">
      <alignment horizontal="center" vertical="center"/>
    </xf>
    <xf numFmtId="164" fontId="18" fillId="6" borderId="34" xfId="0" applyNumberFormat="1" applyFont="1" applyFill="1" applyBorder="1" applyAlignment="1">
      <alignment horizontal="center" vertical="center"/>
    </xf>
    <xf numFmtId="46" fontId="18" fillId="6" borderId="28" xfId="0" applyNumberFormat="1" applyFont="1" applyFill="1" applyBorder="1" applyAlignment="1">
      <alignment horizontal="center" vertical="center"/>
    </xf>
    <xf numFmtId="20" fontId="18" fillId="6" borderId="38" xfId="0" applyNumberFormat="1" applyFont="1" applyFill="1" applyBorder="1" applyAlignment="1">
      <alignment horizontal="center" vertical="center"/>
    </xf>
    <xf numFmtId="0" fontId="18" fillId="6" borderId="38" xfId="0" applyFont="1" applyFill="1" applyBorder="1" applyAlignment="1">
      <alignment horizontal="center" vertical="center"/>
    </xf>
    <xf numFmtId="0" fontId="18" fillId="6" borderId="7" xfId="0" applyFont="1" applyFill="1" applyBorder="1" applyAlignment="1">
      <alignment horizontal="center" vertical="center"/>
    </xf>
    <xf numFmtId="0" fontId="18" fillId="6" borderId="7" xfId="0" applyFont="1" applyFill="1" applyBorder="1" applyAlignment="1">
      <alignment horizontal="center" vertical="top" wrapText="1"/>
    </xf>
    <xf numFmtId="0" fontId="18" fillId="6" borderId="63" xfId="0" applyFont="1" applyFill="1" applyBorder="1" applyAlignment="1">
      <alignment horizontal="center" vertical="center"/>
    </xf>
    <xf numFmtId="0" fontId="18" fillId="6" borderId="64" xfId="0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top" wrapText="1"/>
    </xf>
    <xf numFmtId="0" fontId="17" fillId="0" borderId="12" xfId="0" applyFont="1" applyBorder="1" applyAlignment="1">
      <alignment horizontal="center" vertical="top" wrapText="1"/>
    </xf>
    <xf numFmtId="0" fontId="17" fillId="0" borderId="36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2" fillId="0" borderId="18" xfId="0" applyFont="1" applyBorder="1" applyAlignment="1">
      <alignment vertical="center"/>
    </xf>
    <xf numFmtId="0" fontId="0" fillId="0" borderId="0" xfId="0" applyAlignment="1">
      <alignment vertical="center"/>
    </xf>
    <xf numFmtId="0" fontId="1" fillId="0" borderId="6" xfId="0" applyFont="1" applyBorder="1" applyAlignment="1">
      <alignment horizontal="left" vertical="center"/>
    </xf>
    <xf numFmtId="0" fontId="1" fillId="0" borderId="45" xfId="0" applyFont="1" applyBorder="1" applyAlignment="1">
      <alignment horizontal="left" vertical="center"/>
    </xf>
    <xf numFmtId="0" fontId="2" fillId="0" borderId="33" xfId="0" applyFont="1" applyBorder="1" applyAlignment="1">
      <alignment vertical="center"/>
    </xf>
    <xf numFmtId="0" fontId="1" fillId="0" borderId="6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32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2" fillId="0" borderId="46" xfId="0" applyFont="1" applyBorder="1" applyAlignment="1">
      <alignment vertical="center"/>
    </xf>
    <xf numFmtId="0" fontId="1" fillId="0" borderId="26" xfId="0" applyFont="1" applyBorder="1" applyAlignment="1">
      <alignment horizontal="center" vertical="center"/>
    </xf>
    <xf numFmtId="0" fontId="2" fillId="0" borderId="31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2" fillId="0" borderId="29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1" fillId="0" borderId="14" xfId="0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1" fillId="0" borderId="11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2" fillId="0" borderId="22" xfId="0" applyFont="1" applyBorder="1" applyAlignment="1">
      <alignment vertical="center"/>
    </xf>
    <xf numFmtId="0" fontId="1" fillId="0" borderId="19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2" fillId="0" borderId="27" xfId="0" applyFont="1" applyBorder="1" applyAlignment="1">
      <alignment vertical="center"/>
    </xf>
    <xf numFmtId="0" fontId="1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1" fillId="0" borderId="26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2" fillId="0" borderId="50" xfId="0" applyFont="1" applyBorder="1" applyAlignment="1">
      <alignment vertical="center"/>
    </xf>
    <xf numFmtId="0" fontId="1" fillId="0" borderId="21" xfId="0" applyFont="1" applyBorder="1" applyAlignment="1">
      <alignment horizontal="center" vertical="center"/>
    </xf>
    <xf numFmtId="0" fontId="2" fillId="0" borderId="51" xfId="0" applyFont="1" applyBorder="1" applyAlignment="1">
      <alignment vertical="center"/>
    </xf>
    <xf numFmtId="0" fontId="1" fillId="0" borderId="55" xfId="0" applyFont="1" applyBorder="1" applyAlignment="1">
      <alignment horizontal="left" vertical="center"/>
    </xf>
    <xf numFmtId="0" fontId="2" fillId="0" borderId="53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1" fillId="0" borderId="5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56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1" fillId="0" borderId="12" xfId="0" applyFont="1" applyBorder="1" applyAlignment="1">
      <alignment horizontal="left" vertical="center" wrapText="1"/>
    </xf>
    <xf numFmtId="0" fontId="2" fillId="0" borderId="36" xfId="0" applyFont="1" applyBorder="1" applyAlignment="1">
      <alignment vertical="center"/>
    </xf>
    <xf numFmtId="0" fontId="1" fillId="0" borderId="11" xfId="0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14" xfId="0" applyFont="1" applyBorder="1" applyAlignment="1">
      <alignment horizontal="left" vertical="center" wrapText="1"/>
    </xf>
    <xf numFmtId="0" fontId="2" fillId="0" borderId="41" xfId="0" applyFont="1" applyBorder="1" applyAlignment="1">
      <alignment vertical="center"/>
    </xf>
    <xf numFmtId="0" fontId="2" fillId="0" borderId="42" xfId="0" applyFont="1" applyBorder="1" applyAlignment="1">
      <alignment vertical="center"/>
    </xf>
    <xf numFmtId="0" fontId="11" fillId="0" borderId="2" xfId="0" applyFont="1" applyBorder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3" fillId="0" borderId="45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56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1533525</xdr:colOff>
      <xdr:row>51</xdr:row>
      <xdr:rowOff>28575</xdr:rowOff>
    </xdr:from>
    <xdr:ext cx="238125" cy="2286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6689725" y="1031557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1533525</xdr:colOff>
      <xdr:row>52</xdr:row>
      <xdr:rowOff>9525</xdr:rowOff>
    </xdr:from>
    <xdr:ext cx="238125" cy="2286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689725" y="1060132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1539875</xdr:colOff>
      <xdr:row>53</xdr:row>
      <xdr:rowOff>28575</xdr:rowOff>
    </xdr:from>
    <xdr:ext cx="238125" cy="228600"/>
    <xdr:sp macro="" textlink="">
      <xdr:nvSpPr>
        <xdr:cNvPr id="4" name="Shap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6696075" y="1092517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1539875</xdr:colOff>
      <xdr:row>54</xdr:row>
      <xdr:rowOff>9525</xdr:rowOff>
    </xdr:from>
    <xdr:ext cx="238125" cy="22860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696075" y="1121092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952500</xdr:colOff>
      <xdr:row>51</xdr:row>
      <xdr:rowOff>9525</xdr:rowOff>
    </xdr:from>
    <xdr:ext cx="257175" cy="228600"/>
    <xdr:sp macro="" textlink="">
      <xdr:nvSpPr>
        <xdr:cNvPr id="6" name="Shape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52</xdr:row>
      <xdr:rowOff>9525</xdr:rowOff>
    </xdr:from>
    <xdr:ext cx="257175" cy="228600"/>
    <xdr:sp macro="" textlink="">
      <xdr:nvSpPr>
        <xdr:cNvPr id="7" name="Shape 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53</xdr:row>
      <xdr:rowOff>9525</xdr:rowOff>
    </xdr:from>
    <xdr:ext cx="257175" cy="228600"/>
    <xdr:sp macro="" textlink="">
      <xdr:nvSpPr>
        <xdr:cNvPr id="8" name="Shape 4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54</xdr:row>
      <xdr:rowOff>9525</xdr:rowOff>
    </xdr:from>
    <xdr:ext cx="257175" cy="228600"/>
    <xdr:sp macro="" textlink="">
      <xdr:nvSpPr>
        <xdr:cNvPr id="9" name="Shape 4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51</xdr:row>
      <xdr:rowOff>9525</xdr:rowOff>
    </xdr:from>
    <xdr:ext cx="238125" cy="228600"/>
    <xdr:sp macro="" textlink="">
      <xdr:nvSpPr>
        <xdr:cNvPr id="10" name="Shape 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52</xdr:row>
      <xdr:rowOff>9525</xdr:rowOff>
    </xdr:from>
    <xdr:ext cx="238125" cy="22860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53</xdr:row>
      <xdr:rowOff>9525</xdr:rowOff>
    </xdr:from>
    <xdr:ext cx="238125" cy="228600"/>
    <xdr:sp macro="" textlink="">
      <xdr:nvSpPr>
        <xdr:cNvPr id="12" name="Shape 3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54</xdr:row>
      <xdr:rowOff>9525</xdr:rowOff>
    </xdr:from>
    <xdr:ext cx="238125" cy="228600"/>
    <xdr:sp macro="" textlink="">
      <xdr:nvSpPr>
        <xdr:cNvPr id="13" name="Shap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58</xdr:row>
      <xdr:rowOff>0</xdr:rowOff>
    </xdr:from>
    <xdr:ext cx="342900" cy="342900"/>
    <xdr:sp macro="" textlink="">
      <xdr:nvSpPr>
        <xdr:cNvPr id="14" name="Shape 5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66675</xdr:colOff>
      <xdr:row>1</xdr:row>
      <xdr:rowOff>57150</xdr:rowOff>
    </xdr:from>
    <xdr:ext cx="2257425" cy="695325"/>
    <xdr:pic>
      <xdr:nvPicPr>
        <xdr:cNvPr id="15" name="image1.png" descr=" 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2</xdr:col>
      <xdr:colOff>321235</xdr:colOff>
      <xdr:row>56</xdr:row>
      <xdr:rowOff>148856</xdr:rowOff>
    </xdr:from>
    <xdr:to>
      <xdr:col>3</xdr:col>
      <xdr:colOff>560294</xdr:colOff>
      <xdr:row>61</xdr:row>
      <xdr:rowOff>100298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DED848C8-574E-2BD2-F5CE-747A1360F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4176" y="11773091"/>
          <a:ext cx="971177" cy="92261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1638300</xdr:colOff>
      <xdr:row>48</xdr:row>
      <xdr:rowOff>9525</xdr:rowOff>
    </xdr:from>
    <xdr:ext cx="238125" cy="22860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49</xdr:row>
      <xdr:rowOff>9525</xdr:rowOff>
    </xdr:from>
    <xdr:ext cx="238125" cy="228600"/>
    <xdr:sp macro="" textlink="">
      <xdr:nvSpPr>
        <xdr:cNvPr id="2" name="Shape 6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50</xdr:row>
      <xdr:rowOff>9525</xdr:rowOff>
    </xdr:from>
    <xdr:ext cx="238125" cy="228600"/>
    <xdr:sp macro="" textlink="">
      <xdr:nvSpPr>
        <xdr:cNvPr id="3" name="Shape 6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51</xdr:row>
      <xdr:rowOff>9525</xdr:rowOff>
    </xdr:from>
    <xdr:ext cx="238125" cy="228600"/>
    <xdr:sp macro="" textlink="">
      <xdr:nvSpPr>
        <xdr:cNvPr id="4" name="Shape 6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952500</xdr:colOff>
      <xdr:row>48</xdr:row>
      <xdr:rowOff>9525</xdr:rowOff>
    </xdr:from>
    <xdr:ext cx="257175" cy="228600"/>
    <xdr:sp macro="" textlink="">
      <xdr:nvSpPr>
        <xdr:cNvPr id="5" name="Shap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49</xdr:row>
      <xdr:rowOff>9525</xdr:rowOff>
    </xdr:from>
    <xdr:ext cx="257175" cy="228600"/>
    <xdr:sp macro="" textlink="">
      <xdr:nvSpPr>
        <xdr:cNvPr id="7" name="Shape 4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50</xdr:row>
      <xdr:rowOff>9525</xdr:rowOff>
    </xdr:from>
    <xdr:ext cx="257175" cy="228600"/>
    <xdr:sp macro="" textlink="">
      <xdr:nvSpPr>
        <xdr:cNvPr id="8" name="Shape 4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51</xdr:row>
      <xdr:rowOff>9525</xdr:rowOff>
    </xdr:from>
    <xdr:ext cx="257175" cy="228600"/>
    <xdr:sp macro="" textlink="">
      <xdr:nvSpPr>
        <xdr:cNvPr id="9" name="Shape 4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48</xdr:row>
      <xdr:rowOff>9525</xdr:rowOff>
    </xdr:from>
    <xdr:ext cx="238125" cy="228600"/>
    <xdr:sp macro="" textlink="">
      <xdr:nvSpPr>
        <xdr:cNvPr id="10" name="Shape 6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49</xdr:row>
      <xdr:rowOff>9525</xdr:rowOff>
    </xdr:from>
    <xdr:ext cx="238125" cy="228600"/>
    <xdr:sp macro="" textlink="">
      <xdr:nvSpPr>
        <xdr:cNvPr id="11" name="Shape 6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50</xdr:row>
      <xdr:rowOff>9525</xdr:rowOff>
    </xdr:from>
    <xdr:ext cx="238125" cy="228600"/>
    <xdr:sp macro="" textlink="">
      <xdr:nvSpPr>
        <xdr:cNvPr id="12" name="Shape 6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51</xdr:row>
      <xdr:rowOff>9525</xdr:rowOff>
    </xdr:from>
    <xdr:ext cx="238125" cy="228600"/>
    <xdr:sp macro="" textlink="">
      <xdr:nvSpPr>
        <xdr:cNvPr id="13" name="Shape 6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56</xdr:row>
      <xdr:rowOff>0</xdr:rowOff>
    </xdr:from>
    <xdr:ext cx="342900" cy="342900"/>
    <xdr:sp macro="" textlink="">
      <xdr:nvSpPr>
        <xdr:cNvPr id="14" name="Shape 5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762000</xdr:colOff>
      <xdr:row>1</xdr:row>
      <xdr:rowOff>19050</xdr:rowOff>
    </xdr:from>
    <xdr:ext cx="714375" cy="847725"/>
    <xdr:pic>
      <xdr:nvPicPr>
        <xdr:cNvPr id="15" name="image2.png" descr=" 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1143000</xdr:colOff>
      <xdr:row>48</xdr:row>
      <xdr:rowOff>0</xdr:rowOff>
    </xdr:from>
    <xdr:ext cx="2171700" cy="4086225"/>
    <xdr:pic>
      <xdr:nvPicPr>
        <xdr:cNvPr id="16" name="image3.png" descr=" 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1971675</xdr:colOff>
      <xdr:row>47</xdr:row>
      <xdr:rowOff>9525</xdr:rowOff>
    </xdr:from>
    <xdr:ext cx="238125" cy="2286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48</xdr:row>
      <xdr:rowOff>9525</xdr:rowOff>
    </xdr:from>
    <xdr:ext cx="238125" cy="2286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49</xdr:row>
      <xdr:rowOff>0</xdr:rowOff>
    </xdr:from>
    <xdr:ext cx="238125" cy="24765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5236463" y="3660938"/>
          <a:ext cx="219075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1000125</xdr:colOff>
      <xdr:row>47</xdr:row>
      <xdr:rowOff>9525</xdr:rowOff>
    </xdr:from>
    <xdr:ext cx="257175" cy="2286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1009650</xdr:colOff>
      <xdr:row>48</xdr:row>
      <xdr:rowOff>9525</xdr:rowOff>
    </xdr:from>
    <xdr:ext cx="257175" cy="228600"/>
    <xdr:sp macro="" textlink="">
      <xdr:nvSpPr>
        <xdr:cNvPr id="5" name="Shap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50</xdr:row>
      <xdr:rowOff>0</xdr:rowOff>
    </xdr:from>
    <xdr:ext cx="238125" cy="247650"/>
    <xdr:sp macro="" textlink="">
      <xdr:nvSpPr>
        <xdr:cNvPr id="6" name="Shape 7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5236463" y="3660938"/>
          <a:ext cx="219075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1009650</xdr:colOff>
      <xdr:row>49</xdr:row>
      <xdr:rowOff>0</xdr:rowOff>
    </xdr:from>
    <xdr:ext cx="257175" cy="247650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5222175" y="3660938"/>
          <a:ext cx="247650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1000125</xdr:colOff>
      <xdr:row>50</xdr:row>
      <xdr:rowOff>0</xdr:rowOff>
    </xdr:from>
    <xdr:ext cx="257175" cy="247650"/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5222175" y="3660938"/>
          <a:ext cx="247650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1295400</xdr:colOff>
      <xdr:row>48</xdr:row>
      <xdr:rowOff>9525</xdr:rowOff>
    </xdr:from>
    <xdr:ext cx="247650" cy="228600"/>
    <xdr:sp macro="" textlink="">
      <xdr:nvSpPr>
        <xdr:cNvPr id="10" name="Shape 6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55</xdr:row>
      <xdr:rowOff>0</xdr:rowOff>
    </xdr:from>
    <xdr:ext cx="342900" cy="342900"/>
    <xdr:sp macro="" textlink="">
      <xdr:nvSpPr>
        <xdr:cNvPr id="11" name="Shape 5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1295400</xdr:colOff>
      <xdr:row>47</xdr:row>
      <xdr:rowOff>9525</xdr:rowOff>
    </xdr:from>
    <xdr:ext cx="247650" cy="228600"/>
    <xdr:sp macro="" textlink="">
      <xdr:nvSpPr>
        <xdr:cNvPr id="12" name="Shape 6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762000</xdr:colOff>
      <xdr:row>1</xdr:row>
      <xdr:rowOff>19050</xdr:rowOff>
    </xdr:from>
    <xdr:ext cx="714375" cy="847725"/>
    <xdr:pic>
      <xdr:nvPicPr>
        <xdr:cNvPr id="13" name="image2.png" descr=" 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1171575</xdr:colOff>
      <xdr:row>47</xdr:row>
      <xdr:rowOff>-38100</xdr:rowOff>
    </xdr:from>
    <xdr:ext cx="2257425" cy="4076700"/>
    <xdr:pic>
      <xdr:nvPicPr>
        <xdr:cNvPr id="14" name="image3.png" descr=" 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000"/>
  <sheetViews>
    <sheetView showGridLines="0" tabSelected="1" topLeftCell="A6" zoomScale="85" zoomScaleNormal="85" workbookViewId="0">
      <selection activeCell="F24" sqref="F24"/>
    </sheetView>
  </sheetViews>
  <sheetFormatPr defaultColWidth="14.44140625" defaultRowHeight="15" customHeight="1"/>
  <cols>
    <col min="1" max="1" width="2.21875" customWidth="1"/>
    <col min="2" max="2" width="23.44140625" customWidth="1"/>
    <col min="3" max="4" width="10.44140625" customWidth="1"/>
    <col min="5" max="6" width="8.77734375" customWidth="1"/>
    <col min="7" max="7" width="9.77734375" customWidth="1"/>
    <col min="8" max="9" width="26" customWidth="1"/>
    <col min="10" max="10" width="8.77734375" customWidth="1"/>
    <col min="11" max="11" width="18.77734375" customWidth="1"/>
    <col min="12" max="12" width="44.6640625" customWidth="1"/>
    <col min="13" max="26" width="14" customWidth="1"/>
  </cols>
  <sheetData>
    <row r="1" spans="1:12" ht="14.4">
      <c r="A1" s="1"/>
      <c r="B1" s="1"/>
      <c r="C1" s="2"/>
      <c r="D1" s="2"/>
      <c r="E1" s="2"/>
      <c r="F1" s="2"/>
      <c r="G1" s="2"/>
      <c r="H1" s="1"/>
      <c r="I1" s="1"/>
      <c r="J1" s="1"/>
      <c r="K1" s="1"/>
      <c r="L1" s="1"/>
    </row>
    <row r="2" spans="1:12" ht="14.4">
      <c r="A2" s="1"/>
      <c r="B2" s="145"/>
      <c r="C2" s="134"/>
      <c r="D2" s="134"/>
      <c r="E2" s="143" t="s">
        <v>0</v>
      </c>
      <c r="F2" s="134"/>
      <c r="G2" s="134"/>
      <c r="H2" s="134"/>
      <c r="I2" s="148"/>
      <c r="J2" s="151" t="s">
        <v>1</v>
      </c>
      <c r="K2" s="134"/>
      <c r="L2" s="135"/>
    </row>
    <row r="3" spans="1:12" ht="14.4">
      <c r="A3" s="1"/>
      <c r="B3" s="130"/>
      <c r="C3" s="125"/>
      <c r="D3" s="125"/>
      <c r="E3" s="149"/>
      <c r="F3" s="147"/>
      <c r="G3" s="147"/>
      <c r="H3" s="147"/>
      <c r="I3" s="150"/>
      <c r="J3" s="147"/>
      <c r="K3" s="147"/>
      <c r="L3" s="152"/>
    </row>
    <row r="4" spans="1:12" ht="14.4">
      <c r="A4" s="1"/>
      <c r="B4" s="130"/>
      <c r="C4" s="125"/>
      <c r="D4" s="125"/>
      <c r="E4" s="153" t="s">
        <v>144</v>
      </c>
      <c r="F4" s="154"/>
      <c r="G4" s="154"/>
      <c r="H4" s="154"/>
      <c r="I4" s="155"/>
      <c r="J4" s="156" t="s">
        <v>152</v>
      </c>
      <c r="K4" s="157"/>
      <c r="L4" s="158"/>
    </row>
    <row r="5" spans="1:12" ht="14.4">
      <c r="A5" s="1"/>
      <c r="B5" s="146"/>
      <c r="C5" s="147"/>
      <c r="D5" s="147"/>
      <c r="E5" s="6" t="s">
        <v>2</v>
      </c>
      <c r="F5" s="159" t="s">
        <v>146</v>
      </c>
      <c r="G5" s="154"/>
      <c r="H5" s="154"/>
      <c r="I5" s="155"/>
      <c r="J5" s="125"/>
      <c r="K5" s="125"/>
      <c r="L5" s="124"/>
    </row>
    <row r="6" spans="1:12" ht="14.4">
      <c r="A6" s="1"/>
      <c r="B6" s="162" t="s">
        <v>3</v>
      </c>
      <c r="C6" s="157"/>
      <c r="D6" s="157"/>
      <c r="E6" s="7" t="s">
        <v>4</v>
      </c>
      <c r="F6" s="160">
        <v>0</v>
      </c>
      <c r="G6" s="157"/>
      <c r="H6" s="157"/>
      <c r="I6" s="161"/>
      <c r="J6" s="125"/>
      <c r="K6" s="125"/>
      <c r="L6" s="124"/>
    </row>
    <row r="7" spans="1:12" ht="15" customHeight="1">
      <c r="A7" s="1"/>
      <c r="B7" s="163" t="s">
        <v>5</v>
      </c>
      <c r="C7" s="165" t="s">
        <v>6</v>
      </c>
      <c r="D7" s="166"/>
      <c r="E7" s="143" t="s">
        <v>7</v>
      </c>
      <c r="F7" s="148"/>
      <c r="G7" s="168" t="s">
        <v>8</v>
      </c>
      <c r="H7" s="141" t="s">
        <v>9</v>
      </c>
      <c r="I7" s="141" t="s">
        <v>10</v>
      </c>
      <c r="J7" s="143" t="s">
        <v>11</v>
      </c>
      <c r="K7" s="134"/>
      <c r="L7" s="135"/>
    </row>
    <row r="8" spans="1:12" thickBot="1">
      <c r="A8" s="1"/>
      <c r="B8" s="164"/>
      <c r="C8" s="8">
        <v>0.33333333333333331</v>
      </c>
      <c r="D8" s="8">
        <v>0.70833333333333337</v>
      </c>
      <c r="E8" s="144"/>
      <c r="F8" s="167"/>
      <c r="G8" s="142"/>
      <c r="H8" s="142"/>
      <c r="I8" s="142"/>
      <c r="J8" s="144"/>
      <c r="K8" s="132"/>
      <c r="L8" s="128"/>
    </row>
    <row r="9" spans="1:12" ht="15" customHeight="1" thickBot="1">
      <c r="A9" s="9"/>
      <c r="B9" s="10">
        <v>46227</v>
      </c>
      <c r="C9" s="8">
        <v>0.33333333333333331</v>
      </c>
      <c r="D9" s="8">
        <v>0.70833333333333337</v>
      </c>
      <c r="E9" s="12">
        <v>0.32708333333333334</v>
      </c>
      <c r="F9" s="8">
        <v>0.73055555555555551</v>
      </c>
      <c r="G9" s="11">
        <f>ROUND(MOD(F9-E9-TIME(1,0,0),1)*24,1)</f>
        <v>8.6999999999999993</v>
      </c>
      <c r="H9" s="14"/>
      <c r="I9" s="14" t="s">
        <v>149</v>
      </c>
      <c r="J9" s="119" t="s">
        <v>150</v>
      </c>
      <c r="K9" s="120"/>
      <c r="L9" s="121"/>
    </row>
    <row r="10" spans="1:12" thickBot="1">
      <c r="A10" s="9"/>
      <c r="B10" s="101">
        <v>46228</v>
      </c>
      <c r="C10" s="102"/>
      <c r="D10" s="102"/>
      <c r="E10" s="106"/>
      <c r="F10" s="102"/>
      <c r="G10" s="103"/>
      <c r="H10" s="104" t="s">
        <v>147</v>
      </c>
      <c r="I10" s="104"/>
      <c r="J10" s="108"/>
      <c r="K10" s="109"/>
      <c r="L10" s="110"/>
    </row>
    <row r="11" spans="1:12" thickBot="1">
      <c r="A11" s="9"/>
      <c r="B11" s="101">
        <v>46229</v>
      </c>
      <c r="C11" s="102"/>
      <c r="D11" s="102"/>
      <c r="E11" s="106"/>
      <c r="F11" s="102"/>
      <c r="G11" s="103"/>
      <c r="H11" s="104" t="s">
        <v>148</v>
      </c>
      <c r="I11" s="104"/>
      <c r="J11" s="108"/>
      <c r="K11" s="109"/>
      <c r="L11" s="110"/>
    </row>
    <row r="12" spans="1:12" thickBot="1">
      <c r="A12" s="9"/>
      <c r="B12" s="10">
        <v>46230</v>
      </c>
      <c r="C12" s="8">
        <v>0.33333333333333331</v>
      </c>
      <c r="D12" s="8">
        <v>0.70833333333333337</v>
      </c>
      <c r="E12" s="105">
        <v>0.33263888888888887</v>
      </c>
      <c r="F12" s="8">
        <v>0.72638888888888886</v>
      </c>
      <c r="G12" s="11">
        <f t="shared" ref="G12:G16" si="0">ROUND(MOD(F12-E12-TIME(1,0,0),1)*24,1)</f>
        <v>8.5</v>
      </c>
      <c r="H12" s="14"/>
      <c r="I12" s="14" t="s">
        <v>149</v>
      </c>
      <c r="J12" s="119" t="s">
        <v>150</v>
      </c>
      <c r="K12" s="120"/>
      <c r="L12" s="121"/>
    </row>
    <row r="13" spans="1:12" thickBot="1">
      <c r="A13" s="9"/>
      <c r="B13" s="10">
        <v>46231</v>
      </c>
      <c r="C13" s="8">
        <v>0.33333333333333331</v>
      </c>
      <c r="D13" s="8">
        <v>0.70833333333333337</v>
      </c>
      <c r="E13" s="105">
        <v>0.3527777777777778</v>
      </c>
      <c r="F13" s="8">
        <v>0.72916666666666663</v>
      </c>
      <c r="G13" s="11">
        <f t="shared" si="0"/>
        <v>8</v>
      </c>
      <c r="H13" s="14"/>
      <c r="I13" s="14" t="s">
        <v>149</v>
      </c>
      <c r="J13" s="119" t="s">
        <v>150</v>
      </c>
      <c r="K13" s="120"/>
      <c r="L13" s="121"/>
    </row>
    <row r="14" spans="1:12" thickBot="1">
      <c r="A14" s="9"/>
      <c r="B14" s="10">
        <v>46232</v>
      </c>
      <c r="C14" s="8">
        <v>0.33333333333333331</v>
      </c>
      <c r="D14" s="8">
        <v>0.70833333333333337</v>
      </c>
      <c r="E14" s="105">
        <v>0.35</v>
      </c>
      <c r="F14" s="8">
        <v>0.75972222222222219</v>
      </c>
      <c r="G14" s="11">
        <f t="shared" si="0"/>
        <v>8.8000000000000007</v>
      </c>
      <c r="H14" s="14"/>
      <c r="I14" s="14" t="s">
        <v>149</v>
      </c>
      <c r="J14" s="119" t="s">
        <v>150</v>
      </c>
      <c r="K14" s="120"/>
      <c r="L14" s="121"/>
    </row>
    <row r="15" spans="1:12" thickBot="1">
      <c r="A15" s="9"/>
      <c r="B15" s="10">
        <v>46233</v>
      </c>
      <c r="C15" s="8">
        <v>0.33333333333333331</v>
      </c>
      <c r="D15" s="8">
        <v>0.70833333333333337</v>
      </c>
      <c r="E15" s="105">
        <v>0.31874999999999998</v>
      </c>
      <c r="F15" s="8">
        <v>0.7270833333333333</v>
      </c>
      <c r="G15" s="11">
        <f t="shared" si="0"/>
        <v>8.8000000000000007</v>
      </c>
      <c r="H15" s="14"/>
      <c r="I15" s="14" t="s">
        <v>149</v>
      </c>
      <c r="J15" s="119" t="s">
        <v>150</v>
      </c>
      <c r="K15" s="120"/>
      <c r="L15" s="121"/>
    </row>
    <row r="16" spans="1:12" thickBot="1">
      <c r="A16" s="9"/>
      <c r="B16" s="10">
        <v>46234</v>
      </c>
      <c r="C16" s="8">
        <v>0.33333333333333331</v>
      </c>
      <c r="D16" s="8">
        <v>0.70833333333333337</v>
      </c>
      <c r="E16" s="105">
        <v>0.3298611111111111</v>
      </c>
      <c r="F16" s="8">
        <v>0.72361111111111109</v>
      </c>
      <c r="G16" s="11">
        <f t="shared" si="0"/>
        <v>8.5</v>
      </c>
      <c r="H16" s="14"/>
      <c r="I16" s="14" t="s">
        <v>149</v>
      </c>
      <c r="J16" s="119" t="s">
        <v>150</v>
      </c>
      <c r="K16" s="120"/>
      <c r="L16" s="121"/>
    </row>
    <row r="17" spans="1:12" thickBot="1">
      <c r="A17" s="9"/>
      <c r="B17" s="101">
        <v>46235</v>
      </c>
      <c r="C17" s="102"/>
      <c r="D17" s="102"/>
      <c r="E17" s="106"/>
      <c r="F17" s="102"/>
      <c r="G17" s="107"/>
      <c r="H17" s="104" t="s">
        <v>147</v>
      </c>
      <c r="I17" s="104"/>
      <c r="J17" s="108"/>
      <c r="K17" s="109"/>
      <c r="L17" s="110"/>
    </row>
    <row r="18" spans="1:12" thickBot="1">
      <c r="A18" s="9"/>
      <c r="B18" s="101">
        <v>46236</v>
      </c>
      <c r="C18" s="102"/>
      <c r="D18" s="102"/>
      <c r="E18" s="106"/>
      <c r="F18" s="102"/>
      <c r="G18" s="107"/>
      <c r="H18" s="104" t="s">
        <v>148</v>
      </c>
      <c r="I18" s="104"/>
      <c r="J18" s="108"/>
      <c r="K18" s="109"/>
      <c r="L18" s="110"/>
    </row>
    <row r="19" spans="1:12" thickBot="1">
      <c r="A19" s="9"/>
      <c r="B19" s="10">
        <v>46237</v>
      </c>
      <c r="C19" s="8">
        <v>0.33333333333333331</v>
      </c>
      <c r="D19" s="8">
        <v>0.70833333333333337</v>
      </c>
      <c r="E19" s="105">
        <v>0.32291666666666669</v>
      </c>
      <c r="F19" s="8">
        <v>0.7368055555555556</v>
      </c>
      <c r="G19" s="11">
        <f t="shared" ref="G19:G23" si="1">ROUND(MOD(F19-E19-TIME(1,0,0),1)*24,1)</f>
        <v>8.9</v>
      </c>
      <c r="H19" s="14"/>
      <c r="I19" s="14" t="s">
        <v>149</v>
      </c>
      <c r="J19" s="119" t="s">
        <v>150</v>
      </c>
      <c r="K19" s="120"/>
      <c r="L19" s="121"/>
    </row>
    <row r="20" spans="1:12" thickBot="1">
      <c r="A20" s="9"/>
      <c r="B20" s="10">
        <v>46238</v>
      </c>
      <c r="C20" s="8">
        <v>0.33333333333333331</v>
      </c>
      <c r="D20" s="8">
        <v>0.70833333333333337</v>
      </c>
      <c r="E20" s="105">
        <v>0.33680555555555558</v>
      </c>
      <c r="F20" s="8">
        <v>0.79513888888888884</v>
      </c>
      <c r="G20" s="11">
        <f t="shared" si="1"/>
        <v>10</v>
      </c>
      <c r="H20" s="14"/>
      <c r="I20" s="14" t="s">
        <v>149</v>
      </c>
      <c r="J20" s="119" t="s">
        <v>150</v>
      </c>
      <c r="K20" s="120"/>
      <c r="L20" s="121"/>
    </row>
    <row r="21" spans="1:12" thickBot="1">
      <c r="A21" s="9"/>
      <c r="B21" s="10">
        <v>46239</v>
      </c>
      <c r="C21" s="8">
        <v>0.33333333333333331</v>
      </c>
      <c r="D21" s="8">
        <v>0.70833333333333337</v>
      </c>
      <c r="E21" s="105">
        <v>0.37291666666666667</v>
      </c>
      <c r="F21" s="8">
        <v>0.7368055555555556</v>
      </c>
      <c r="G21" s="11">
        <f t="shared" si="1"/>
        <v>7.7</v>
      </c>
      <c r="H21" s="14"/>
      <c r="I21" s="14" t="s">
        <v>149</v>
      </c>
      <c r="J21" s="119" t="s">
        <v>150</v>
      </c>
      <c r="K21" s="120"/>
      <c r="L21" s="121"/>
    </row>
    <row r="22" spans="1:12" thickBot="1">
      <c r="A22" s="9"/>
      <c r="B22" s="10">
        <v>46240</v>
      </c>
      <c r="C22" s="8">
        <v>0.33333333333333331</v>
      </c>
      <c r="D22" s="8">
        <v>0.70833333333333337</v>
      </c>
      <c r="E22" s="105">
        <v>0.37152777777777779</v>
      </c>
      <c r="F22" s="8">
        <v>0.75763888888888886</v>
      </c>
      <c r="G22" s="11">
        <f t="shared" si="1"/>
        <v>8.3000000000000007</v>
      </c>
      <c r="H22" s="14"/>
      <c r="I22" s="14" t="s">
        <v>149</v>
      </c>
      <c r="J22" s="119" t="s">
        <v>150</v>
      </c>
      <c r="K22" s="120"/>
      <c r="L22" s="121"/>
    </row>
    <row r="23" spans="1:12" thickBot="1">
      <c r="A23" s="9"/>
      <c r="B23" s="10">
        <v>46241</v>
      </c>
      <c r="C23" s="8">
        <v>0.33333333333333331</v>
      </c>
      <c r="D23" s="8">
        <v>0.70833333333333337</v>
      </c>
      <c r="E23" s="105">
        <v>0.32361111111111113</v>
      </c>
      <c r="F23" s="8">
        <v>0.70833333333333337</v>
      </c>
      <c r="G23" s="11">
        <f t="shared" si="1"/>
        <v>8.1999999999999993</v>
      </c>
      <c r="H23" s="14"/>
      <c r="I23" s="14" t="s">
        <v>149</v>
      </c>
      <c r="J23" s="119" t="s">
        <v>150</v>
      </c>
      <c r="K23" s="120"/>
      <c r="L23" s="121"/>
    </row>
    <row r="24" spans="1:12" thickBot="1">
      <c r="A24" s="9"/>
      <c r="B24" s="101">
        <v>46242</v>
      </c>
      <c r="C24" s="102"/>
      <c r="D24" s="102"/>
      <c r="E24" s="106"/>
      <c r="F24" s="102"/>
      <c r="G24" s="107"/>
      <c r="H24" s="104" t="s">
        <v>147</v>
      </c>
      <c r="I24" s="104"/>
      <c r="J24" s="108"/>
      <c r="K24" s="109"/>
      <c r="L24" s="110"/>
    </row>
    <row r="25" spans="1:12" thickBot="1">
      <c r="A25" s="9"/>
      <c r="B25" s="101">
        <v>46243</v>
      </c>
      <c r="C25" s="102"/>
      <c r="D25" s="102"/>
      <c r="E25" s="106"/>
      <c r="F25" s="102"/>
      <c r="G25" s="107"/>
      <c r="H25" s="104" t="s">
        <v>148</v>
      </c>
      <c r="I25" s="104"/>
      <c r="J25" s="108"/>
      <c r="K25" s="109"/>
      <c r="L25" s="110"/>
    </row>
    <row r="26" spans="1:12" thickBot="1">
      <c r="A26" s="9"/>
      <c r="B26" s="10">
        <v>46244</v>
      </c>
      <c r="C26" s="8">
        <v>0.33333333333333331</v>
      </c>
      <c r="D26" s="8">
        <v>0.70833333333333337</v>
      </c>
      <c r="E26" s="105"/>
      <c r="F26" s="8"/>
      <c r="G26" s="11">
        <f t="shared" ref="G26:G30" si="2">ROUND(MOD(F26-E26-TIME(1,0,0),1)*24,1)</f>
        <v>23</v>
      </c>
      <c r="H26" s="14"/>
      <c r="I26" s="14" t="s">
        <v>149</v>
      </c>
      <c r="J26" s="119" t="s">
        <v>150</v>
      </c>
      <c r="K26" s="120"/>
      <c r="L26" s="121"/>
    </row>
    <row r="27" spans="1:12" thickBot="1">
      <c r="A27" s="9"/>
      <c r="B27" s="10">
        <v>46245</v>
      </c>
      <c r="C27" s="8">
        <v>0.33333333333333331</v>
      </c>
      <c r="D27" s="8">
        <v>0.70833333333333337</v>
      </c>
      <c r="E27" s="105"/>
      <c r="F27" s="8"/>
      <c r="G27" s="11">
        <f t="shared" si="2"/>
        <v>23</v>
      </c>
      <c r="H27" s="14"/>
      <c r="I27" s="14" t="s">
        <v>149</v>
      </c>
      <c r="J27" s="119" t="s">
        <v>150</v>
      </c>
      <c r="K27" s="120"/>
      <c r="L27" s="121"/>
    </row>
    <row r="28" spans="1:12" thickBot="1">
      <c r="A28" s="9"/>
      <c r="B28" s="10">
        <v>46246</v>
      </c>
      <c r="C28" s="8">
        <v>0.33333333333333331</v>
      </c>
      <c r="D28" s="8">
        <v>0.70833333333333337</v>
      </c>
      <c r="E28" s="105"/>
      <c r="F28" s="8"/>
      <c r="G28" s="11">
        <f t="shared" si="2"/>
        <v>23</v>
      </c>
      <c r="H28" s="14"/>
      <c r="I28" s="14" t="s">
        <v>149</v>
      </c>
      <c r="J28" s="119" t="s">
        <v>150</v>
      </c>
      <c r="K28" s="120"/>
      <c r="L28" s="121"/>
    </row>
    <row r="29" spans="1:12" thickBot="1">
      <c r="A29" s="9"/>
      <c r="B29" s="10">
        <v>46247</v>
      </c>
      <c r="C29" s="8">
        <v>0.33333333333333331</v>
      </c>
      <c r="D29" s="8">
        <v>0.70833333333333337</v>
      </c>
      <c r="E29" s="105"/>
      <c r="F29" s="8"/>
      <c r="G29" s="11">
        <f t="shared" si="2"/>
        <v>23</v>
      </c>
      <c r="H29" s="14"/>
      <c r="I29" s="14" t="s">
        <v>149</v>
      </c>
      <c r="J29" s="119" t="s">
        <v>150</v>
      </c>
      <c r="K29" s="120"/>
      <c r="L29" s="121"/>
    </row>
    <row r="30" spans="1:12" thickBot="1">
      <c r="A30" s="9"/>
      <c r="B30" s="10">
        <v>46248</v>
      </c>
      <c r="C30" s="8">
        <v>0.33333333333333331</v>
      </c>
      <c r="D30" s="8">
        <v>0.70833333333333337</v>
      </c>
      <c r="E30" s="105"/>
      <c r="F30" s="8"/>
      <c r="G30" s="11">
        <f t="shared" si="2"/>
        <v>23</v>
      </c>
      <c r="H30" s="14"/>
      <c r="I30" s="14" t="s">
        <v>149</v>
      </c>
      <c r="J30" s="119" t="s">
        <v>150</v>
      </c>
      <c r="K30" s="120"/>
      <c r="L30" s="121"/>
    </row>
    <row r="31" spans="1:12" thickBot="1">
      <c r="A31" s="9"/>
      <c r="B31" s="101">
        <v>46249</v>
      </c>
      <c r="C31" s="102"/>
      <c r="D31" s="102"/>
      <c r="E31" s="106"/>
      <c r="F31" s="102"/>
      <c r="G31" s="107"/>
      <c r="H31" s="104" t="s">
        <v>147</v>
      </c>
      <c r="I31" s="104"/>
      <c r="J31" s="108"/>
      <c r="K31" s="109"/>
      <c r="L31" s="110"/>
    </row>
    <row r="32" spans="1:12" thickBot="1">
      <c r="A32" s="9"/>
      <c r="B32" s="101">
        <v>46250</v>
      </c>
      <c r="C32" s="102"/>
      <c r="D32" s="102"/>
      <c r="E32" s="106"/>
      <c r="F32" s="102"/>
      <c r="G32" s="107"/>
      <c r="H32" s="104" t="s">
        <v>148</v>
      </c>
      <c r="I32" s="104"/>
      <c r="J32" s="108"/>
      <c r="K32" s="109"/>
      <c r="L32" s="110"/>
    </row>
    <row r="33" spans="1:12" thickBot="1">
      <c r="A33" s="9"/>
      <c r="B33" s="111">
        <v>46251</v>
      </c>
      <c r="C33" s="112"/>
      <c r="D33" s="112"/>
      <c r="E33" s="113"/>
      <c r="F33" s="112"/>
      <c r="G33" s="114"/>
      <c r="H33" s="115" t="s">
        <v>153</v>
      </c>
      <c r="I33" s="115"/>
      <c r="J33" s="116"/>
      <c r="K33" s="117"/>
      <c r="L33" s="118"/>
    </row>
    <row r="34" spans="1:12" thickBot="1">
      <c r="A34" s="9"/>
      <c r="B34" s="10">
        <v>46252</v>
      </c>
      <c r="C34" s="8">
        <v>0.33333333333333331</v>
      </c>
      <c r="D34" s="8">
        <v>0.70833333333333337</v>
      </c>
      <c r="E34" s="105"/>
      <c r="F34" s="8"/>
      <c r="G34" s="11">
        <f t="shared" ref="G34:G37" si="3">ROUND(MOD(F34-E34-TIME(1,0,0),1)*24,1)</f>
        <v>23</v>
      </c>
      <c r="H34" s="14"/>
      <c r="I34" s="14" t="s">
        <v>149</v>
      </c>
      <c r="J34" s="119" t="s">
        <v>150</v>
      </c>
      <c r="K34" s="120"/>
      <c r="L34" s="121"/>
    </row>
    <row r="35" spans="1:12" thickBot="1">
      <c r="A35" s="9"/>
      <c r="B35" s="10">
        <v>46253</v>
      </c>
      <c r="C35" s="8">
        <v>0.33333333333333331</v>
      </c>
      <c r="D35" s="8">
        <v>0.70833333333333337</v>
      </c>
      <c r="E35" s="105"/>
      <c r="F35" s="8"/>
      <c r="G35" s="11">
        <f t="shared" si="3"/>
        <v>23</v>
      </c>
      <c r="H35" s="14"/>
      <c r="I35" s="14" t="s">
        <v>149</v>
      </c>
      <c r="J35" s="119" t="s">
        <v>150</v>
      </c>
      <c r="K35" s="120"/>
      <c r="L35" s="121"/>
    </row>
    <row r="36" spans="1:12" thickBot="1">
      <c r="A36" s="9"/>
      <c r="B36" s="10">
        <v>46254</v>
      </c>
      <c r="C36" s="8">
        <v>0.33333333333333331</v>
      </c>
      <c r="D36" s="8">
        <v>0.70833333333333337</v>
      </c>
      <c r="E36" s="105"/>
      <c r="F36" s="8"/>
      <c r="G36" s="11">
        <f t="shared" si="3"/>
        <v>23</v>
      </c>
      <c r="H36" s="14"/>
      <c r="I36" s="14" t="s">
        <v>149</v>
      </c>
      <c r="J36" s="119" t="s">
        <v>150</v>
      </c>
      <c r="K36" s="120"/>
      <c r="L36" s="121"/>
    </row>
    <row r="37" spans="1:12" thickBot="1">
      <c r="A37" s="9"/>
      <c r="B37" s="10">
        <v>46255</v>
      </c>
      <c r="C37" s="8">
        <v>0.33333333333333331</v>
      </c>
      <c r="D37" s="8">
        <v>0.70833333333333337</v>
      </c>
      <c r="E37" s="105"/>
      <c r="F37" s="8"/>
      <c r="G37" s="11">
        <f t="shared" si="3"/>
        <v>23</v>
      </c>
      <c r="H37" s="14"/>
      <c r="I37" s="14" t="s">
        <v>149</v>
      </c>
      <c r="J37" s="119" t="s">
        <v>150</v>
      </c>
      <c r="K37" s="120"/>
      <c r="L37" s="121"/>
    </row>
    <row r="38" spans="1:12" thickBot="1">
      <c r="A38" s="9"/>
      <c r="B38" s="101">
        <v>46256</v>
      </c>
      <c r="C38" s="102"/>
      <c r="D38" s="102"/>
      <c r="E38" s="106"/>
      <c r="F38" s="102"/>
      <c r="G38" s="103"/>
      <c r="H38" s="104" t="s">
        <v>147</v>
      </c>
      <c r="I38" s="104"/>
      <c r="J38" s="108"/>
      <c r="K38" s="109"/>
      <c r="L38" s="110"/>
    </row>
    <row r="39" spans="1:12" thickBot="1">
      <c r="A39" s="9"/>
      <c r="B39" s="101">
        <v>46257</v>
      </c>
      <c r="C39" s="102"/>
      <c r="D39" s="102"/>
      <c r="E39" s="106"/>
      <c r="F39" s="102"/>
      <c r="G39" s="107"/>
      <c r="H39" s="104" t="s">
        <v>148</v>
      </c>
      <c r="I39" s="104"/>
      <c r="J39" s="108"/>
      <c r="K39" s="109"/>
      <c r="L39" s="110"/>
    </row>
    <row r="40" spans="1:12" ht="14.4">
      <c r="A40" s="2"/>
    </row>
    <row r="41" spans="1:12" ht="14.4">
      <c r="A41" s="2"/>
    </row>
    <row r="42" spans="1:12" thickBot="1">
      <c r="A42" s="1"/>
    </row>
    <row r="43" spans="1:12" ht="18" customHeight="1" thickBot="1">
      <c r="A43" s="1"/>
      <c r="B43" s="136" t="s">
        <v>13</v>
      </c>
      <c r="C43" s="137"/>
      <c r="D43" s="137"/>
      <c r="E43" s="137"/>
      <c r="F43" s="138"/>
      <c r="G43" s="18">
        <f>SUM(G9:G39)</f>
        <v>301.39999999999998</v>
      </c>
      <c r="H43" s="19"/>
      <c r="I43" s="19"/>
      <c r="J43" s="19"/>
      <c r="K43" s="19"/>
      <c r="L43" s="20"/>
    </row>
    <row r="44" spans="1:12" ht="20.25" customHeight="1">
      <c r="A44" s="1"/>
      <c r="B44" s="21" t="s">
        <v>14</v>
      </c>
      <c r="C44" s="22"/>
      <c r="D44" s="22"/>
      <c r="E44" s="22"/>
      <c r="F44" s="22"/>
      <c r="G44" s="23"/>
      <c r="H44" s="133" t="s">
        <v>15</v>
      </c>
      <c r="I44" s="134"/>
      <c r="J44" s="134"/>
      <c r="K44" s="134"/>
      <c r="L44" s="135"/>
    </row>
    <row r="45" spans="1:12" ht="20.25" customHeight="1">
      <c r="A45" s="1"/>
      <c r="B45" s="24" t="s">
        <v>16</v>
      </c>
      <c r="C45" s="25"/>
      <c r="D45" s="25"/>
      <c r="E45" s="25"/>
      <c r="F45" s="25"/>
      <c r="G45" s="26">
        <v>22</v>
      </c>
      <c r="H45" s="129" t="s">
        <v>17</v>
      </c>
      <c r="I45" s="125"/>
      <c r="J45" s="125"/>
      <c r="K45" s="125"/>
      <c r="L45" s="124"/>
    </row>
    <row r="46" spans="1:12" ht="20.25" customHeight="1">
      <c r="A46" s="1"/>
      <c r="B46" s="24" t="s">
        <v>18</v>
      </c>
      <c r="C46" s="25"/>
      <c r="D46" s="25"/>
      <c r="E46" s="25"/>
      <c r="F46" s="25"/>
      <c r="G46" s="27">
        <v>0</v>
      </c>
      <c r="H46" s="130"/>
      <c r="I46" s="125"/>
      <c r="J46" s="125"/>
      <c r="K46" s="125"/>
      <c r="L46" s="124"/>
    </row>
    <row r="47" spans="1:12" ht="20.25" customHeight="1" thickBot="1">
      <c r="A47" s="1"/>
      <c r="B47" s="24" t="s">
        <v>19</v>
      </c>
      <c r="C47" s="25"/>
      <c r="D47" s="25"/>
      <c r="E47" s="25"/>
      <c r="F47" s="25"/>
      <c r="G47" s="27">
        <v>0</v>
      </c>
      <c r="H47" s="131"/>
      <c r="I47" s="132"/>
      <c r="J47" s="132"/>
      <c r="K47" s="132"/>
      <c r="L47" s="128"/>
    </row>
    <row r="48" spans="1:12" ht="20.25" customHeight="1">
      <c r="A48" s="1"/>
      <c r="B48" s="24" t="s">
        <v>20</v>
      </c>
      <c r="C48" s="25"/>
      <c r="D48" s="25"/>
      <c r="E48" s="25"/>
      <c r="F48" s="25"/>
      <c r="G48" s="27">
        <v>0</v>
      </c>
      <c r="H48" s="133" t="s">
        <v>21</v>
      </c>
      <c r="I48" s="134"/>
      <c r="J48" s="134"/>
      <c r="K48" s="134"/>
      <c r="L48" s="135"/>
    </row>
    <row r="49" spans="1:12" ht="20.25" customHeight="1">
      <c r="A49" s="1"/>
      <c r="B49" s="24" t="s">
        <v>22</v>
      </c>
      <c r="C49" s="25"/>
      <c r="D49" s="25"/>
      <c r="E49" s="25"/>
      <c r="F49" s="25"/>
      <c r="G49" s="27">
        <v>0</v>
      </c>
      <c r="H49" s="122" t="s">
        <v>23</v>
      </c>
      <c r="I49" s="125"/>
      <c r="J49" s="125"/>
      <c r="K49" s="125"/>
      <c r="L49" s="124"/>
    </row>
    <row r="50" spans="1:12" ht="20.25" customHeight="1" thickBot="1">
      <c r="A50" s="1"/>
      <c r="B50" s="24" t="s">
        <v>24</v>
      </c>
      <c r="C50" s="25"/>
      <c r="D50" s="25"/>
      <c r="E50" s="25"/>
      <c r="F50" s="25"/>
      <c r="G50" s="27">
        <v>22</v>
      </c>
      <c r="H50" s="131"/>
      <c r="I50" s="132"/>
      <c r="J50" s="132"/>
      <c r="K50" s="132"/>
      <c r="L50" s="128"/>
    </row>
    <row r="51" spans="1:12" ht="24" customHeight="1" thickBot="1">
      <c r="A51" s="1"/>
      <c r="B51" s="24" t="s">
        <v>25</v>
      </c>
      <c r="C51" s="25"/>
      <c r="D51" s="25"/>
      <c r="E51" s="25"/>
      <c r="F51" s="25"/>
      <c r="G51" s="29">
        <f>G50/G45</f>
        <v>1</v>
      </c>
      <c r="H51" s="30" t="s">
        <v>26</v>
      </c>
      <c r="I51" s="31"/>
      <c r="J51" s="139" t="s">
        <v>27</v>
      </c>
      <c r="K51" s="140"/>
      <c r="L51" s="32" t="s">
        <v>28</v>
      </c>
    </row>
    <row r="52" spans="1:12" ht="24" customHeight="1">
      <c r="A52" s="1"/>
      <c r="B52" s="33" t="s">
        <v>14</v>
      </c>
      <c r="C52" s="25"/>
      <c r="D52" s="25"/>
      <c r="E52" s="25"/>
      <c r="F52" s="25"/>
      <c r="G52" s="34"/>
      <c r="H52" s="35" t="s">
        <v>29</v>
      </c>
      <c r="I52" s="36"/>
      <c r="J52" s="126" t="s">
        <v>29</v>
      </c>
      <c r="K52" s="124"/>
      <c r="L52" s="37" t="s">
        <v>29</v>
      </c>
    </row>
    <row r="53" spans="1:12" ht="24" customHeight="1">
      <c r="A53" s="1"/>
      <c r="B53" s="24" t="s">
        <v>30</v>
      </c>
      <c r="C53" s="2"/>
      <c r="D53" s="2"/>
      <c r="E53" s="2"/>
      <c r="F53" s="25"/>
      <c r="G53" s="27">
        <f>8*G45</f>
        <v>176</v>
      </c>
      <c r="H53" s="35" t="s">
        <v>31</v>
      </c>
      <c r="I53" s="36"/>
      <c r="J53" s="126" t="s">
        <v>31</v>
      </c>
      <c r="K53" s="124"/>
      <c r="L53" s="37" t="s">
        <v>31</v>
      </c>
    </row>
    <row r="54" spans="1:12" ht="24" customHeight="1">
      <c r="A54" s="1"/>
      <c r="B54" s="24" t="s">
        <v>32</v>
      </c>
      <c r="C54" s="2"/>
      <c r="D54" s="2"/>
      <c r="E54" s="2"/>
      <c r="F54" s="2"/>
      <c r="G54" s="26">
        <f>G43</f>
        <v>301.39999999999998</v>
      </c>
      <c r="H54" s="35" t="s">
        <v>33</v>
      </c>
      <c r="I54" s="36"/>
      <c r="J54" s="126" t="s">
        <v>33</v>
      </c>
      <c r="K54" s="124"/>
      <c r="L54" s="37" t="s">
        <v>33</v>
      </c>
    </row>
    <row r="55" spans="1:12" ht="22.95" customHeight="1" thickBot="1">
      <c r="A55" s="1"/>
      <c r="B55" s="38" t="s">
        <v>34</v>
      </c>
      <c r="C55" s="39"/>
      <c r="D55" s="39"/>
      <c r="E55" s="39"/>
      <c r="F55" s="39"/>
      <c r="G55" s="40">
        <f>G54/G53</f>
        <v>1.7124999999999999</v>
      </c>
      <c r="H55" s="41" t="s">
        <v>35</v>
      </c>
      <c r="I55" s="42"/>
      <c r="J55" s="127" t="s">
        <v>35</v>
      </c>
      <c r="K55" s="128"/>
      <c r="L55" s="43" t="s">
        <v>35</v>
      </c>
    </row>
    <row r="56" spans="1:12" ht="15.75" customHeight="1">
      <c r="A56" s="1"/>
      <c r="B56" s="44"/>
      <c r="C56" s="3"/>
      <c r="D56" s="45"/>
      <c r="E56" s="3"/>
      <c r="F56" s="4"/>
      <c r="G56" s="45"/>
      <c r="H56" s="44"/>
      <c r="I56" s="19"/>
      <c r="J56" s="20"/>
      <c r="K56" s="19"/>
      <c r="L56" s="20"/>
    </row>
    <row r="57" spans="1:12" ht="15.75" customHeight="1">
      <c r="A57" s="1"/>
      <c r="B57" s="28"/>
      <c r="C57" s="122" t="s">
        <v>36</v>
      </c>
      <c r="D57" s="124"/>
      <c r="E57" s="122" t="s">
        <v>37</v>
      </c>
      <c r="F57" s="125"/>
      <c r="G57" s="124"/>
      <c r="H57" s="122" t="s">
        <v>38</v>
      </c>
      <c r="I57" s="125"/>
      <c r="J57" s="124"/>
      <c r="K57" s="122" t="s">
        <v>39</v>
      </c>
      <c r="L57" s="124"/>
    </row>
    <row r="58" spans="1:12" ht="15.75" customHeight="1">
      <c r="A58" s="1"/>
      <c r="B58" s="46" t="s">
        <v>5</v>
      </c>
      <c r="C58" s="122"/>
      <c r="D58" s="123"/>
      <c r="E58" s="47"/>
      <c r="F58" s="1"/>
      <c r="G58" s="48"/>
      <c r="H58" s="47"/>
      <c r="I58" s="1"/>
      <c r="J58" s="48"/>
      <c r="K58" s="1"/>
      <c r="L58" s="48"/>
    </row>
    <row r="59" spans="1:12" ht="15.75" customHeight="1">
      <c r="A59" s="1"/>
      <c r="B59" s="49" t="s">
        <v>40</v>
      </c>
      <c r="C59" s="122"/>
      <c r="D59" s="123"/>
      <c r="E59" s="47"/>
      <c r="F59" s="1"/>
      <c r="G59" s="48"/>
      <c r="H59" s="47"/>
      <c r="I59" s="1"/>
      <c r="J59" s="48"/>
      <c r="K59" s="1"/>
      <c r="L59" s="48"/>
    </row>
    <row r="60" spans="1:12" ht="15.75" customHeight="1">
      <c r="A60" s="1"/>
      <c r="B60" s="50">
        <v>46257</v>
      </c>
      <c r="C60" s="122"/>
      <c r="D60" s="123"/>
      <c r="E60" s="47"/>
      <c r="F60" s="1"/>
      <c r="G60" s="48"/>
      <c r="H60" s="47"/>
      <c r="I60" s="1"/>
      <c r="J60" s="48"/>
      <c r="K60" s="1"/>
      <c r="L60" s="48"/>
    </row>
    <row r="61" spans="1:12" ht="15.75" customHeight="1">
      <c r="A61" s="51"/>
      <c r="B61" s="47"/>
      <c r="C61" s="122"/>
      <c r="D61" s="123"/>
      <c r="E61" s="47"/>
      <c r="F61" s="1"/>
      <c r="G61" s="48"/>
      <c r="H61" s="47"/>
      <c r="I61" s="1"/>
      <c r="J61" s="48"/>
      <c r="K61" s="1"/>
      <c r="L61" s="48"/>
    </row>
    <row r="62" spans="1:12" ht="15.75" customHeight="1">
      <c r="A62" s="1"/>
      <c r="B62" s="52"/>
      <c r="C62" s="172" t="s">
        <v>151</v>
      </c>
      <c r="D62" s="124"/>
      <c r="E62" s="170" t="s">
        <v>41</v>
      </c>
      <c r="F62" s="125"/>
      <c r="G62" s="124"/>
      <c r="H62" s="171" t="s">
        <v>145</v>
      </c>
      <c r="I62" s="125"/>
      <c r="J62" s="124"/>
      <c r="K62" s="170" t="s">
        <v>42</v>
      </c>
      <c r="L62" s="124"/>
    </row>
    <row r="63" spans="1:12" ht="15.75" customHeight="1" thickBot="1">
      <c r="A63" s="1"/>
      <c r="B63" s="53"/>
      <c r="C63" s="169"/>
      <c r="D63" s="128"/>
      <c r="E63" s="169" t="s">
        <v>43</v>
      </c>
      <c r="F63" s="132"/>
      <c r="G63" s="128"/>
      <c r="H63" s="169" t="s">
        <v>44</v>
      </c>
      <c r="I63" s="132"/>
      <c r="J63" s="128"/>
      <c r="K63" s="169" t="s">
        <v>45</v>
      </c>
      <c r="L63" s="128"/>
    </row>
    <row r="64" spans="1:12" ht="15.75" customHeight="1">
      <c r="A64" s="1"/>
      <c r="B64" s="1"/>
      <c r="C64" s="2"/>
      <c r="D64" s="2"/>
      <c r="E64" s="2"/>
      <c r="F64" s="2"/>
      <c r="G64" s="2"/>
      <c r="H64" s="1"/>
      <c r="I64" s="1"/>
      <c r="J64" s="1"/>
      <c r="K64" s="1"/>
      <c r="L64" s="1"/>
    </row>
    <row r="65" spans="1:12" ht="15.75" customHeight="1">
      <c r="A65" s="1"/>
      <c r="B65" s="1"/>
      <c r="C65" s="2"/>
      <c r="D65" s="2"/>
      <c r="E65" s="2"/>
      <c r="F65" s="2"/>
      <c r="G65" s="2"/>
      <c r="H65" s="1"/>
      <c r="I65" s="1"/>
      <c r="J65" s="1"/>
      <c r="K65" s="1"/>
      <c r="L65" s="1"/>
    </row>
    <row r="66" spans="1:12" ht="15.75" customHeight="1">
      <c r="A66" s="1"/>
      <c r="B66" s="1"/>
      <c r="C66" s="2"/>
      <c r="D66" s="2"/>
      <c r="E66" s="2"/>
      <c r="F66" s="2"/>
      <c r="G66" s="2"/>
      <c r="H66" s="1"/>
      <c r="I66" s="1"/>
      <c r="J66" s="1"/>
      <c r="K66" s="1"/>
      <c r="L66" s="1"/>
    </row>
    <row r="67" spans="1:12" ht="15.75" customHeight="1">
      <c r="A67" s="1"/>
      <c r="B67" s="1"/>
      <c r="C67" s="2"/>
      <c r="D67" s="2"/>
      <c r="E67" s="2"/>
      <c r="F67" s="2"/>
      <c r="G67" s="2"/>
      <c r="H67" s="1"/>
      <c r="I67" s="1"/>
      <c r="J67" s="1"/>
      <c r="K67" s="1"/>
      <c r="L67" s="1"/>
    </row>
    <row r="68" spans="1:12" ht="15.75" customHeight="1">
      <c r="A68" s="1"/>
      <c r="B68" s="1"/>
      <c r="C68" s="2"/>
      <c r="D68" s="2"/>
      <c r="E68" s="2"/>
      <c r="F68" s="2"/>
      <c r="G68" s="2"/>
      <c r="H68" s="1"/>
      <c r="I68" s="1"/>
      <c r="J68" s="1"/>
      <c r="K68" s="1"/>
      <c r="L68" s="1"/>
    </row>
    <row r="69" spans="1:12" ht="15.75" customHeight="1">
      <c r="A69" s="1"/>
      <c r="B69" s="1"/>
      <c r="C69" s="2"/>
      <c r="D69" s="2"/>
      <c r="E69" s="2"/>
      <c r="F69" s="2"/>
      <c r="G69" s="2"/>
      <c r="H69" s="1"/>
      <c r="I69" s="1"/>
      <c r="J69" s="1"/>
      <c r="K69" s="1"/>
      <c r="L69" s="1"/>
    </row>
    <row r="70" spans="1:12" ht="15.75" customHeight="1">
      <c r="A70" s="1"/>
      <c r="B70" s="1"/>
      <c r="C70" s="2"/>
      <c r="D70" s="2"/>
      <c r="E70" s="2"/>
      <c r="F70" s="2"/>
      <c r="G70" s="2"/>
      <c r="H70" s="1"/>
      <c r="I70" s="1"/>
      <c r="J70" s="1"/>
      <c r="K70" s="1"/>
      <c r="L70" s="1"/>
    </row>
    <row r="71" spans="1:12" ht="15.75" customHeight="1">
      <c r="A71" s="1"/>
      <c r="B71" s="1"/>
      <c r="C71" s="2"/>
      <c r="D71" s="2"/>
      <c r="E71" s="2"/>
      <c r="F71" s="2"/>
      <c r="G71" s="2"/>
      <c r="H71" s="1"/>
      <c r="I71" s="1"/>
      <c r="J71" s="1"/>
      <c r="K71" s="1"/>
      <c r="L71" s="1"/>
    </row>
    <row r="72" spans="1:12" ht="15.75" customHeight="1">
      <c r="A72" s="1"/>
      <c r="B72" s="1"/>
      <c r="C72" s="2"/>
      <c r="D72" s="2"/>
      <c r="E72" s="2"/>
      <c r="F72" s="2"/>
      <c r="G72" s="2"/>
      <c r="H72" s="1"/>
      <c r="I72" s="1"/>
      <c r="J72" s="1"/>
      <c r="K72" s="1"/>
      <c r="L72" s="1"/>
    </row>
    <row r="73" spans="1:12" ht="15.75" customHeight="1">
      <c r="A73" s="1"/>
      <c r="B73" s="1"/>
      <c r="C73" s="2"/>
      <c r="D73" s="2"/>
      <c r="E73" s="2"/>
      <c r="F73" s="2"/>
      <c r="G73" s="2"/>
      <c r="H73" s="1"/>
      <c r="I73" s="1"/>
      <c r="J73" s="1"/>
      <c r="K73" s="1"/>
      <c r="L73" s="1"/>
    </row>
    <row r="74" spans="1:12" ht="15.75" customHeight="1">
      <c r="A74" s="1"/>
      <c r="B74" s="1"/>
      <c r="C74" s="2"/>
      <c r="D74" s="2"/>
      <c r="E74" s="2"/>
      <c r="F74" s="2"/>
      <c r="G74" s="2"/>
      <c r="H74" s="1"/>
      <c r="I74" s="1"/>
      <c r="J74" s="1"/>
      <c r="K74" s="1"/>
      <c r="L74" s="1"/>
    </row>
    <row r="75" spans="1:12" ht="15.75" customHeight="1">
      <c r="A75" s="1"/>
      <c r="B75" s="1"/>
      <c r="C75" s="2"/>
      <c r="D75" s="2"/>
      <c r="E75" s="2"/>
      <c r="F75" s="2"/>
      <c r="G75" s="2"/>
      <c r="H75" s="1"/>
      <c r="I75" s="1"/>
      <c r="J75" s="1"/>
      <c r="K75" s="1"/>
      <c r="L75" s="1"/>
    </row>
    <row r="76" spans="1:12" ht="15.75" customHeight="1">
      <c r="A76" s="1"/>
      <c r="B76" s="1"/>
      <c r="C76" s="2"/>
      <c r="D76" s="2"/>
      <c r="E76" s="2"/>
      <c r="F76" s="2"/>
      <c r="G76" s="2"/>
      <c r="H76" s="1"/>
      <c r="I76" s="1"/>
      <c r="J76" s="1"/>
      <c r="K76" s="1"/>
      <c r="L76" s="1"/>
    </row>
    <row r="77" spans="1:12" ht="15.75" customHeight="1">
      <c r="A77" s="1"/>
      <c r="B77" s="1"/>
      <c r="C77" s="2"/>
      <c r="D77" s="2"/>
      <c r="E77" s="2"/>
      <c r="F77" s="2"/>
      <c r="G77" s="2"/>
      <c r="H77" s="1"/>
      <c r="I77" s="1"/>
      <c r="J77" s="1"/>
      <c r="K77" s="1"/>
      <c r="L77" s="1"/>
    </row>
    <row r="78" spans="1:12" ht="15.75" customHeight="1">
      <c r="A78" s="1"/>
      <c r="B78" s="1"/>
      <c r="C78" s="2"/>
      <c r="D78" s="2"/>
      <c r="E78" s="2"/>
      <c r="F78" s="2"/>
      <c r="G78" s="2"/>
      <c r="H78" s="1"/>
      <c r="I78" s="1"/>
      <c r="J78" s="1"/>
      <c r="K78" s="1"/>
      <c r="L78" s="1"/>
    </row>
    <row r="79" spans="1:12" ht="15.75" customHeight="1">
      <c r="A79" s="1"/>
      <c r="B79" s="1"/>
      <c r="C79" s="2"/>
      <c r="D79" s="2"/>
      <c r="E79" s="2"/>
      <c r="F79" s="2"/>
      <c r="G79" s="2"/>
      <c r="H79" s="1"/>
      <c r="I79" s="1"/>
      <c r="J79" s="1"/>
      <c r="K79" s="1"/>
      <c r="L79" s="1"/>
    </row>
    <row r="80" spans="1:12" ht="15.75" customHeight="1">
      <c r="A80" s="1"/>
      <c r="B80" s="1"/>
      <c r="C80" s="2"/>
      <c r="D80" s="2"/>
      <c r="E80" s="2"/>
      <c r="F80" s="2"/>
      <c r="G80" s="2"/>
      <c r="H80" s="1"/>
      <c r="I80" s="1"/>
      <c r="J80" s="1"/>
      <c r="K80" s="1"/>
      <c r="L80" s="1"/>
    </row>
    <row r="81" spans="1:12" ht="15.75" customHeight="1">
      <c r="A81" s="1"/>
      <c r="B81" s="1"/>
      <c r="C81" s="2"/>
      <c r="D81" s="2"/>
      <c r="E81" s="2"/>
      <c r="F81" s="2"/>
      <c r="G81" s="2"/>
      <c r="H81" s="1"/>
      <c r="I81" s="1"/>
      <c r="J81" s="1"/>
      <c r="K81" s="1"/>
      <c r="L81" s="1"/>
    </row>
    <row r="82" spans="1:12" ht="15.75" customHeight="1">
      <c r="A82" s="1"/>
      <c r="B82" s="1"/>
      <c r="C82" s="2"/>
      <c r="D82" s="2"/>
      <c r="E82" s="2"/>
      <c r="F82" s="2"/>
      <c r="G82" s="2"/>
      <c r="H82" s="1"/>
      <c r="I82" s="1"/>
      <c r="J82" s="1"/>
      <c r="K82" s="1"/>
      <c r="L82" s="1"/>
    </row>
    <row r="83" spans="1:12" ht="15.75" customHeight="1">
      <c r="A83" s="1"/>
      <c r="B83" s="1"/>
      <c r="C83" s="2"/>
      <c r="D83" s="2"/>
      <c r="E83" s="2"/>
      <c r="F83" s="2"/>
      <c r="G83" s="2"/>
      <c r="H83" s="1"/>
      <c r="I83" s="1"/>
      <c r="J83" s="1"/>
      <c r="K83" s="1"/>
      <c r="L83" s="1"/>
    </row>
    <row r="84" spans="1:12" ht="15.75" customHeight="1">
      <c r="A84" s="1"/>
      <c r="B84" s="1"/>
      <c r="C84" s="2"/>
      <c r="D84" s="2"/>
      <c r="E84" s="2"/>
      <c r="F84" s="2"/>
      <c r="G84" s="2"/>
      <c r="H84" s="1"/>
      <c r="I84" s="1"/>
      <c r="J84" s="1"/>
      <c r="K84" s="1"/>
      <c r="L84" s="1"/>
    </row>
    <row r="85" spans="1:12" ht="15.75" customHeight="1">
      <c r="A85" s="1"/>
      <c r="B85" s="1"/>
      <c r="C85" s="2"/>
      <c r="D85" s="2"/>
      <c r="E85" s="2"/>
      <c r="F85" s="2"/>
      <c r="G85" s="2"/>
      <c r="H85" s="1"/>
      <c r="I85" s="1"/>
      <c r="J85" s="1"/>
      <c r="K85" s="1"/>
      <c r="L85" s="1"/>
    </row>
    <row r="86" spans="1:12" ht="15.75" customHeight="1">
      <c r="A86" s="1"/>
      <c r="B86" s="1"/>
      <c r="C86" s="2"/>
      <c r="D86" s="2"/>
      <c r="E86" s="2"/>
      <c r="F86" s="2"/>
      <c r="G86" s="2"/>
      <c r="H86" s="1"/>
      <c r="I86" s="1"/>
      <c r="J86" s="1"/>
      <c r="K86" s="1"/>
      <c r="L86" s="1"/>
    </row>
    <row r="87" spans="1:12" ht="15.75" customHeight="1">
      <c r="A87" s="1"/>
      <c r="B87" s="1"/>
      <c r="C87" s="2"/>
      <c r="D87" s="2"/>
      <c r="E87" s="2"/>
      <c r="F87" s="2"/>
      <c r="G87" s="2"/>
      <c r="H87" s="1"/>
      <c r="I87" s="1"/>
      <c r="J87" s="1"/>
      <c r="K87" s="1"/>
      <c r="L87" s="1"/>
    </row>
    <row r="88" spans="1:12" ht="15.75" customHeight="1">
      <c r="A88" s="1"/>
      <c r="B88" s="1"/>
      <c r="C88" s="2"/>
      <c r="D88" s="2"/>
      <c r="E88" s="2"/>
      <c r="F88" s="2"/>
      <c r="G88" s="2"/>
      <c r="H88" s="1"/>
      <c r="I88" s="1"/>
      <c r="J88" s="1"/>
      <c r="K88" s="1"/>
      <c r="L88" s="1"/>
    </row>
    <row r="89" spans="1:12" ht="15.75" customHeight="1">
      <c r="A89" s="1"/>
      <c r="B89" s="1"/>
      <c r="C89" s="2"/>
      <c r="D89" s="2"/>
      <c r="E89" s="2"/>
      <c r="F89" s="2"/>
      <c r="G89" s="2"/>
      <c r="H89" s="1"/>
      <c r="I89" s="1"/>
      <c r="J89" s="1"/>
      <c r="K89" s="1"/>
      <c r="L89" s="1"/>
    </row>
    <row r="90" spans="1:12" ht="15.75" customHeight="1">
      <c r="A90" s="1"/>
      <c r="B90" s="1"/>
      <c r="C90" s="2"/>
      <c r="D90" s="2"/>
      <c r="E90" s="2"/>
      <c r="F90" s="2"/>
      <c r="G90" s="2"/>
      <c r="H90" s="1"/>
      <c r="I90" s="1"/>
      <c r="J90" s="1"/>
      <c r="K90" s="1"/>
      <c r="L90" s="1"/>
    </row>
    <row r="91" spans="1:12" ht="15.75" customHeight="1">
      <c r="A91" s="1"/>
      <c r="B91" s="1"/>
      <c r="C91" s="2"/>
      <c r="D91" s="2"/>
      <c r="E91" s="2"/>
      <c r="F91" s="2"/>
      <c r="G91" s="2"/>
      <c r="H91" s="1"/>
      <c r="I91" s="1"/>
      <c r="J91" s="1"/>
      <c r="K91" s="1"/>
      <c r="L91" s="1"/>
    </row>
    <row r="92" spans="1:12" ht="15.75" customHeight="1">
      <c r="A92" s="1"/>
      <c r="B92" s="1"/>
      <c r="C92" s="2"/>
      <c r="D92" s="2"/>
      <c r="E92" s="2"/>
      <c r="F92" s="2"/>
      <c r="G92" s="2"/>
      <c r="H92" s="1"/>
      <c r="I92" s="1"/>
      <c r="J92" s="1"/>
      <c r="K92" s="1"/>
      <c r="L92" s="1"/>
    </row>
    <row r="93" spans="1:12" ht="15.75" customHeight="1">
      <c r="A93" s="1"/>
      <c r="B93" s="1"/>
      <c r="C93" s="2"/>
      <c r="D93" s="2"/>
      <c r="E93" s="2"/>
      <c r="F93" s="2"/>
      <c r="G93" s="2"/>
      <c r="H93" s="1"/>
      <c r="I93" s="1"/>
      <c r="J93" s="1"/>
      <c r="K93" s="1"/>
      <c r="L93" s="1"/>
    </row>
    <row r="94" spans="1:12" ht="15.75" customHeight="1">
      <c r="A94" s="1"/>
      <c r="B94" s="1"/>
      <c r="C94" s="2"/>
      <c r="D94" s="2"/>
      <c r="E94" s="2"/>
      <c r="F94" s="2"/>
      <c r="G94" s="2"/>
      <c r="H94" s="1"/>
      <c r="I94" s="1"/>
      <c r="J94" s="1"/>
      <c r="K94" s="1"/>
      <c r="L94" s="1"/>
    </row>
    <row r="95" spans="1:12" ht="15.75" customHeight="1">
      <c r="A95" s="1"/>
      <c r="B95" s="1"/>
      <c r="C95" s="2"/>
      <c r="D95" s="2"/>
      <c r="E95" s="2"/>
      <c r="F95" s="2"/>
      <c r="G95" s="2"/>
      <c r="H95" s="1"/>
      <c r="I95" s="1"/>
      <c r="J95" s="1"/>
      <c r="K95" s="1"/>
      <c r="L95" s="1"/>
    </row>
    <row r="96" spans="1:12" ht="15.75" customHeight="1">
      <c r="A96" s="1"/>
      <c r="B96" s="1"/>
      <c r="C96" s="2"/>
      <c r="D96" s="2"/>
      <c r="E96" s="2"/>
      <c r="F96" s="2"/>
      <c r="G96" s="2"/>
      <c r="H96" s="1"/>
      <c r="I96" s="1"/>
      <c r="J96" s="1"/>
      <c r="K96" s="1"/>
      <c r="L96" s="1"/>
    </row>
    <row r="97" spans="1:12" ht="15.75" customHeight="1">
      <c r="A97" s="1"/>
      <c r="B97" s="1"/>
      <c r="C97" s="2"/>
      <c r="D97" s="2"/>
      <c r="E97" s="2"/>
      <c r="F97" s="2"/>
      <c r="G97" s="2"/>
      <c r="H97" s="1"/>
      <c r="I97" s="1"/>
      <c r="J97" s="1"/>
      <c r="K97" s="1"/>
      <c r="L97" s="1"/>
    </row>
    <row r="98" spans="1:12" ht="15.75" customHeight="1">
      <c r="A98" s="1"/>
      <c r="B98" s="1"/>
      <c r="C98" s="2"/>
      <c r="D98" s="2"/>
      <c r="E98" s="2"/>
      <c r="F98" s="2"/>
      <c r="G98" s="2"/>
      <c r="H98" s="1"/>
      <c r="I98" s="1"/>
      <c r="J98" s="1"/>
      <c r="K98" s="1"/>
      <c r="L98" s="1"/>
    </row>
    <row r="99" spans="1:12" ht="15.75" customHeight="1">
      <c r="A99" s="1"/>
      <c r="B99" s="1"/>
      <c r="C99" s="2"/>
      <c r="D99" s="2"/>
      <c r="E99" s="2"/>
      <c r="F99" s="2"/>
      <c r="G99" s="2"/>
      <c r="H99" s="1"/>
      <c r="I99" s="1"/>
      <c r="J99" s="1"/>
      <c r="K99" s="1"/>
      <c r="L99" s="1"/>
    </row>
    <row r="100" spans="1:12" ht="15.75" customHeight="1">
      <c r="A100" s="1"/>
      <c r="B100" s="1"/>
      <c r="C100" s="2"/>
      <c r="D100" s="2"/>
      <c r="E100" s="2"/>
      <c r="F100" s="2"/>
      <c r="G100" s="2"/>
      <c r="H100" s="1"/>
      <c r="I100" s="1"/>
      <c r="J100" s="1"/>
      <c r="K100" s="1"/>
      <c r="L100" s="1"/>
    </row>
    <row r="101" spans="1:12" ht="15.75" customHeight="1">
      <c r="A101" s="1"/>
      <c r="B101" s="1"/>
      <c r="C101" s="2"/>
      <c r="D101" s="2"/>
      <c r="E101" s="2"/>
      <c r="F101" s="2"/>
      <c r="G101" s="2"/>
      <c r="H101" s="1"/>
      <c r="I101" s="1"/>
      <c r="J101" s="1"/>
      <c r="K101" s="1"/>
      <c r="L101" s="1"/>
    </row>
    <row r="102" spans="1:12" ht="15.75" customHeight="1">
      <c r="A102" s="1"/>
      <c r="B102" s="1"/>
      <c r="C102" s="2"/>
      <c r="D102" s="2"/>
      <c r="E102" s="2"/>
      <c r="F102" s="2"/>
      <c r="G102" s="2"/>
      <c r="H102" s="1"/>
      <c r="I102" s="1"/>
      <c r="J102" s="1"/>
      <c r="K102" s="1"/>
      <c r="L102" s="1"/>
    </row>
    <row r="103" spans="1:12" ht="15.75" customHeight="1">
      <c r="A103" s="1"/>
      <c r="B103" s="1"/>
      <c r="C103" s="2"/>
      <c r="D103" s="2"/>
      <c r="E103" s="2"/>
      <c r="F103" s="2"/>
      <c r="G103" s="2"/>
      <c r="H103" s="1"/>
      <c r="I103" s="1"/>
      <c r="J103" s="1"/>
      <c r="K103" s="1"/>
      <c r="L103" s="1"/>
    </row>
    <row r="104" spans="1:12" ht="15.75" customHeight="1">
      <c r="A104" s="1"/>
      <c r="B104" s="1"/>
      <c r="C104" s="2"/>
      <c r="D104" s="2"/>
      <c r="E104" s="2"/>
      <c r="F104" s="2"/>
      <c r="G104" s="2"/>
      <c r="H104" s="1"/>
      <c r="I104" s="1"/>
      <c r="J104" s="1"/>
      <c r="K104" s="1"/>
      <c r="L104" s="1"/>
    </row>
    <row r="105" spans="1:12" ht="15.75" customHeight="1">
      <c r="A105" s="1"/>
      <c r="B105" s="1"/>
      <c r="C105" s="2"/>
      <c r="D105" s="2"/>
      <c r="E105" s="2"/>
      <c r="F105" s="2"/>
      <c r="G105" s="2"/>
      <c r="H105" s="1"/>
      <c r="I105" s="1"/>
      <c r="J105" s="1"/>
      <c r="K105" s="1"/>
      <c r="L105" s="1"/>
    </row>
    <row r="106" spans="1:12" ht="15.75" customHeight="1">
      <c r="A106" s="1"/>
      <c r="B106" s="1"/>
      <c r="C106" s="2"/>
      <c r="D106" s="2"/>
      <c r="E106" s="2"/>
      <c r="F106" s="2"/>
      <c r="G106" s="2"/>
      <c r="H106" s="1"/>
      <c r="I106" s="1"/>
      <c r="J106" s="1"/>
      <c r="K106" s="1"/>
      <c r="L106" s="1"/>
    </row>
    <row r="107" spans="1:12" ht="15.75" customHeight="1">
      <c r="A107" s="1"/>
      <c r="B107" s="1"/>
      <c r="C107" s="2"/>
      <c r="D107" s="2"/>
      <c r="E107" s="2"/>
      <c r="F107" s="2"/>
      <c r="G107" s="2"/>
      <c r="H107" s="1"/>
      <c r="I107" s="1"/>
      <c r="J107" s="1"/>
      <c r="K107" s="1"/>
      <c r="L107" s="1"/>
    </row>
    <row r="108" spans="1:12" ht="15.75" customHeight="1">
      <c r="A108" s="1"/>
      <c r="B108" s="1"/>
      <c r="C108" s="2"/>
      <c r="D108" s="2"/>
      <c r="E108" s="2"/>
      <c r="F108" s="2"/>
      <c r="G108" s="2"/>
      <c r="H108" s="1"/>
      <c r="I108" s="1"/>
      <c r="J108" s="1"/>
      <c r="K108" s="1"/>
      <c r="L108" s="1"/>
    </row>
    <row r="109" spans="1:12" ht="15.75" customHeight="1">
      <c r="A109" s="1"/>
      <c r="B109" s="1"/>
      <c r="C109" s="2"/>
      <c r="D109" s="2"/>
      <c r="E109" s="2"/>
      <c r="F109" s="2"/>
      <c r="G109" s="2"/>
      <c r="H109" s="1"/>
      <c r="I109" s="1"/>
      <c r="J109" s="1"/>
      <c r="K109" s="1"/>
      <c r="L109" s="1"/>
    </row>
    <row r="110" spans="1:12" ht="15.75" customHeight="1">
      <c r="A110" s="1"/>
      <c r="B110" s="1"/>
      <c r="C110" s="2"/>
      <c r="D110" s="2"/>
      <c r="E110" s="2"/>
      <c r="F110" s="2"/>
      <c r="G110" s="2"/>
      <c r="H110" s="1"/>
      <c r="I110" s="1"/>
      <c r="J110" s="1"/>
      <c r="K110" s="1"/>
      <c r="L110" s="1"/>
    </row>
    <row r="111" spans="1:12" ht="15.75" customHeight="1">
      <c r="A111" s="1"/>
      <c r="B111" s="1"/>
      <c r="C111" s="2"/>
      <c r="D111" s="2"/>
      <c r="E111" s="2"/>
      <c r="F111" s="2"/>
      <c r="G111" s="2"/>
      <c r="H111" s="1"/>
      <c r="I111" s="1"/>
      <c r="J111" s="1"/>
      <c r="K111" s="1"/>
      <c r="L111" s="1"/>
    </row>
    <row r="112" spans="1:12" ht="15.75" customHeight="1">
      <c r="A112" s="1"/>
      <c r="B112" s="1"/>
      <c r="C112" s="2"/>
      <c r="D112" s="2"/>
      <c r="E112" s="2"/>
      <c r="F112" s="2"/>
      <c r="G112" s="2"/>
      <c r="H112" s="1"/>
      <c r="I112" s="1"/>
      <c r="J112" s="1"/>
      <c r="K112" s="1"/>
      <c r="L112" s="1"/>
    </row>
    <row r="113" spans="1:12" ht="15.75" customHeight="1">
      <c r="A113" s="1"/>
      <c r="B113" s="1"/>
      <c r="C113" s="2"/>
      <c r="D113" s="2"/>
      <c r="E113" s="2"/>
      <c r="F113" s="2"/>
      <c r="G113" s="2"/>
      <c r="H113" s="1"/>
      <c r="I113" s="1"/>
      <c r="J113" s="1"/>
      <c r="K113" s="1"/>
      <c r="L113" s="1"/>
    </row>
    <row r="114" spans="1:12" ht="15.75" customHeight="1">
      <c r="A114" s="1"/>
      <c r="B114" s="1"/>
      <c r="C114" s="2"/>
      <c r="D114" s="2"/>
      <c r="E114" s="2"/>
      <c r="F114" s="2"/>
      <c r="G114" s="2"/>
      <c r="H114" s="1"/>
      <c r="I114" s="1"/>
      <c r="J114" s="1"/>
      <c r="K114" s="1"/>
      <c r="L114" s="1"/>
    </row>
    <row r="115" spans="1:12" ht="15.75" customHeight="1">
      <c r="A115" s="1"/>
      <c r="B115" s="1"/>
      <c r="C115" s="2"/>
      <c r="D115" s="2"/>
      <c r="E115" s="2"/>
      <c r="F115" s="2"/>
      <c r="G115" s="2"/>
      <c r="H115" s="1"/>
      <c r="I115" s="1"/>
      <c r="J115" s="1"/>
      <c r="K115" s="1"/>
      <c r="L115" s="1"/>
    </row>
    <row r="116" spans="1:12" ht="15.75" customHeight="1">
      <c r="A116" s="1"/>
      <c r="B116" s="1"/>
      <c r="C116" s="2"/>
      <c r="D116" s="2"/>
      <c r="E116" s="2"/>
      <c r="F116" s="2"/>
      <c r="G116" s="2"/>
      <c r="H116" s="1"/>
      <c r="I116" s="1"/>
      <c r="J116" s="1"/>
      <c r="K116" s="1"/>
      <c r="L116" s="1"/>
    </row>
    <row r="117" spans="1:12" ht="15.75" customHeight="1">
      <c r="A117" s="1"/>
      <c r="B117" s="1"/>
      <c r="C117" s="2"/>
      <c r="D117" s="2"/>
      <c r="E117" s="2"/>
      <c r="F117" s="2"/>
      <c r="G117" s="2"/>
      <c r="H117" s="1"/>
      <c r="I117" s="1"/>
      <c r="J117" s="1"/>
      <c r="K117" s="1"/>
      <c r="L117" s="1"/>
    </row>
    <row r="118" spans="1:12" ht="15.75" customHeight="1">
      <c r="A118" s="1"/>
      <c r="B118" s="1"/>
      <c r="C118" s="2"/>
      <c r="D118" s="2"/>
      <c r="E118" s="2"/>
      <c r="F118" s="2"/>
      <c r="G118" s="2"/>
      <c r="H118" s="1"/>
      <c r="I118" s="1"/>
      <c r="J118" s="1"/>
      <c r="K118" s="1"/>
      <c r="L118" s="1"/>
    </row>
    <row r="119" spans="1:12" ht="15.75" customHeight="1">
      <c r="A119" s="1"/>
      <c r="B119" s="1"/>
      <c r="C119" s="2"/>
      <c r="D119" s="2"/>
      <c r="E119" s="2"/>
      <c r="F119" s="2"/>
      <c r="G119" s="2"/>
      <c r="H119" s="1"/>
      <c r="I119" s="1"/>
      <c r="J119" s="1"/>
      <c r="K119" s="1"/>
      <c r="L119" s="1"/>
    </row>
    <row r="120" spans="1:12" ht="15.75" customHeight="1">
      <c r="A120" s="1"/>
      <c r="B120" s="1"/>
      <c r="C120" s="2"/>
      <c r="D120" s="2"/>
      <c r="E120" s="2"/>
      <c r="F120" s="2"/>
      <c r="G120" s="2"/>
      <c r="H120" s="1"/>
      <c r="I120" s="1"/>
      <c r="J120" s="1"/>
      <c r="K120" s="1"/>
      <c r="L120" s="1"/>
    </row>
    <row r="121" spans="1:12" ht="15.75" customHeight="1">
      <c r="A121" s="1"/>
      <c r="B121" s="1"/>
      <c r="C121" s="2"/>
      <c r="D121" s="2"/>
      <c r="E121" s="2"/>
      <c r="F121" s="2"/>
      <c r="G121" s="2"/>
      <c r="H121" s="1"/>
      <c r="I121" s="1"/>
      <c r="J121" s="1"/>
      <c r="K121" s="1"/>
      <c r="L121" s="1"/>
    </row>
    <row r="122" spans="1:12" ht="15.75" customHeight="1">
      <c r="A122" s="1"/>
      <c r="B122" s="1"/>
      <c r="C122" s="2"/>
      <c r="D122" s="2"/>
      <c r="E122" s="2"/>
      <c r="F122" s="2"/>
      <c r="G122" s="2"/>
      <c r="H122" s="1"/>
      <c r="I122" s="1"/>
      <c r="J122" s="1"/>
      <c r="K122" s="1"/>
      <c r="L122" s="1"/>
    </row>
    <row r="123" spans="1:12" ht="15.75" customHeight="1">
      <c r="A123" s="1"/>
      <c r="B123" s="1"/>
      <c r="C123" s="2"/>
      <c r="D123" s="2"/>
      <c r="E123" s="2"/>
      <c r="F123" s="2"/>
      <c r="G123" s="2"/>
      <c r="H123" s="1"/>
      <c r="I123" s="1"/>
      <c r="J123" s="1"/>
      <c r="K123" s="1"/>
      <c r="L123" s="1"/>
    </row>
    <row r="124" spans="1:12" ht="15.75" customHeight="1">
      <c r="A124" s="1"/>
      <c r="B124" s="1"/>
      <c r="C124" s="2"/>
      <c r="D124" s="2"/>
      <c r="E124" s="2"/>
      <c r="F124" s="2"/>
      <c r="G124" s="2"/>
      <c r="H124" s="1"/>
      <c r="I124" s="1"/>
      <c r="J124" s="1"/>
      <c r="K124" s="1"/>
      <c r="L124" s="1"/>
    </row>
    <row r="125" spans="1:12" ht="15.75" customHeight="1">
      <c r="A125" s="1"/>
      <c r="B125" s="1"/>
      <c r="C125" s="2"/>
      <c r="D125" s="2"/>
      <c r="E125" s="2"/>
      <c r="F125" s="2"/>
      <c r="G125" s="2"/>
      <c r="H125" s="1"/>
      <c r="I125" s="1"/>
      <c r="J125" s="1"/>
      <c r="K125" s="1"/>
      <c r="L125" s="1"/>
    </row>
    <row r="126" spans="1:12" ht="15.75" customHeight="1">
      <c r="A126" s="1"/>
      <c r="B126" s="1"/>
      <c r="C126" s="2"/>
      <c r="D126" s="2"/>
      <c r="E126" s="2"/>
      <c r="F126" s="2"/>
      <c r="G126" s="2"/>
      <c r="H126" s="1"/>
      <c r="I126" s="1"/>
      <c r="J126" s="1"/>
      <c r="K126" s="1"/>
      <c r="L126" s="1"/>
    </row>
    <row r="127" spans="1:12" ht="15.75" customHeight="1">
      <c r="A127" s="1"/>
      <c r="B127" s="1"/>
      <c r="C127" s="2"/>
      <c r="D127" s="2"/>
      <c r="E127" s="2"/>
      <c r="F127" s="2"/>
      <c r="G127" s="2"/>
      <c r="H127" s="1"/>
      <c r="I127" s="1"/>
      <c r="J127" s="1"/>
      <c r="K127" s="1"/>
      <c r="L127" s="1"/>
    </row>
    <row r="128" spans="1:12" ht="15.75" customHeight="1">
      <c r="A128" s="1"/>
      <c r="B128" s="1"/>
      <c r="C128" s="2"/>
      <c r="D128" s="2"/>
      <c r="E128" s="2"/>
      <c r="F128" s="2"/>
      <c r="G128" s="2"/>
      <c r="H128" s="1"/>
      <c r="I128" s="1"/>
      <c r="J128" s="1"/>
      <c r="K128" s="1"/>
      <c r="L128" s="1"/>
    </row>
    <row r="129" spans="1:12" ht="15.75" customHeight="1">
      <c r="A129" s="1"/>
      <c r="B129" s="1"/>
      <c r="C129" s="2"/>
      <c r="D129" s="2"/>
      <c r="E129" s="2"/>
      <c r="F129" s="2"/>
      <c r="G129" s="2"/>
      <c r="H129" s="1"/>
      <c r="I129" s="1"/>
      <c r="J129" s="1"/>
      <c r="K129" s="1"/>
      <c r="L129" s="1"/>
    </row>
    <row r="130" spans="1:12" ht="15.75" customHeight="1">
      <c r="A130" s="1"/>
      <c r="B130" s="1"/>
      <c r="C130" s="2"/>
      <c r="D130" s="2"/>
      <c r="E130" s="2"/>
      <c r="F130" s="2"/>
      <c r="G130" s="2"/>
      <c r="H130" s="1"/>
      <c r="I130" s="1"/>
      <c r="J130" s="1"/>
      <c r="K130" s="1"/>
      <c r="L130" s="1"/>
    </row>
    <row r="131" spans="1:12" ht="15.75" customHeight="1">
      <c r="A131" s="1"/>
      <c r="B131" s="1"/>
      <c r="C131" s="2"/>
      <c r="D131" s="2"/>
      <c r="E131" s="2"/>
      <c r="F131" s="2"/>
      <c r="G131" s="2"/>
      <c r="H131" s="1"/>
      <c r="I131" s="1"/>
      <c r="J131" s="1"/>
      <c r="K131" s="1"/>
      <c r="L131" s="1"/>
    </row>
    <row r="132" spans="1:12" ht="15.75" customHeight="1">
      <c r="A132" s="1"/>
      <c r="B132" s="1"/>
      <c r="C132" s="2"/>
      <c r="D132" s="2"/>
      <c r="E132" s="2"/>
      <c r="F132" s="2"/>
      <c r="G132" s="2"/>
      <c r="H132" s="1"/>
      <c r="I132" s="1"/>
      <c r="J132" s="1"/>
      <c r="K132" s="1"/>
      <c r="L132" s="1"/>
    </row>
    <row r="133" spans="1:12" ht="15.75" customHeight="1">
      <c r="A133" s="1"/>
      <c r="B133" s="1"/>
      <c r="C133" s="2"/>
      <c r="D133" s="2"/>
      <c r="E133" s="2"/>
      <c r="F133" s="2"/>
      <c r="G133" s="2"/>
      <c r="H133" s="1"/>
      <c r="I133" s="1"/>
      <c r="J133" s="1"/>
      <c r="K133" s="1"/>
      <c r="L133" s="1"/>
    </row>
    <row r="134" spans="1:12" ht="15.75" customHeight="1">
      <c r="A134" s="1"/>
      <c r="B134" s="1"/>
      <c r="C134" s="2"/>
      <c r="D134" s="2"/>
      <c r="E134" s="2"/>
      <c r="F134" s="2"/>
      <c r="G134" s="2"/>
      <c r="H134" s="1"/>
      <c r="I134" s="1"/>
      <c r="J134" s="1"/>
      <c r="K134" s="1"/>
      <c r="L134" s="1"/>
    </row>
    <row r="135" spans="1:12" ht="15.75" customHeight="1">
      <c r="A135" s="1"/>
      <c r="B135" s="1"/>
      <c r="C135" s="2"/>
      <c r="D135" s="2"/>
      <c r="E135" s="2"/>
      <c r="F135" s="2"/>
      <c r="G135" s="2"/>
      <c r="H135" s="1"/>
      <c r="I135" s="1"/>
      <c r="J135" s="1"/>
      <c r="K135" s="1"/>
      <c r="L135" s="1"/>
    </row>
    <row r="136" spans="1:12" ht="15.75" customHeight="1">
      <c r="A136" s="1"/>
      <c r="B136" s="1"/>
      <c r="C136" s="2"/>
      <c r="D136" s="2"/>
      <c r="E136" s="2"/>
      <c r="F136" s="2"/>
      <c r="G136" s="2"/>
      <c r="H136" s="1"/>
      <c r="I136" s="1"/>
      <c r="J136" s="1"/>
      <c r="K136" s="1"/>
      <c r="L136" s="1"/>
    </row>
    <row r="137" spans="1:12" ht="15.75" customHeight="1">
      <c r="A137" s="1"/>
      <c r="B137" s="1"/>
      <c r="C137" s="2"/>
      <c r="D137" s="2"/>
      <c r="E137" s="2"/>
      <c r="F137" s="2"/>
      <c r="G137" s="2"/>
      <c r="H137" s="1"/>
      <c r="I137" s="1"/>
      <c r="J137" s="1"/>
      <c r="K137" s="1"/>
      <c r="L137" s="1"/>
    </row>
    <row r="138" spans="1:12" ht="15.75" customHeight="1">
      <c r="A138" s="1"/>
      <c r="B138" s="1"/>
      <c r="C138" s="2"/>
      <c r="D138" s="2"/>
      <c r="E138" s="2"/>
      <c r="F138" s="2"/>
      <c r="G138" s="2"/>
      <c r="H138" s="1"/>
      <c r="I138" s="1"/>
      <c r="J138" s="1"/>
      <c r="K138" s="1"/>
      <c r="L138" s="1"/>
    </row>
    <row r="139" spans="1:12" ht="15.75" customHeight="1">
      <c r="A139" s="1"/>
      <c r="B139" s="1"/>
      <c r="C139" s="2"/>
      <c r="D139" s="2"/>
      <c r="E139" s="2"/>
      <c r="F139" s="2"/>
      <c r="G139" s="2"/>
      <c r="H139" s="1"/>
      <c r="I139" s="1"/>
      <c r="J139" s="1"/>
      <c r="K139" s="1"/>
      <c r="L139" s="1"/>
    </row>
    <row r="140" spans="1:12" ht="15.75" customHeight="1">
      <c r="A140" s="1"/>
      <c r="B140" s="1"/>
      <c r="C140" s="2"/>
      <c r="D140" s="2"/>
      <c r="E140" s="2"/>
      <c r="F140" s="2"/>
      <c r="G140" s="2"/>
      <c r="H140" s="1"/>
      <c r="I140" s="1"/>
      <c r="J140" s="1"/>
      <c r="K140" s="1"/>
      <c r="L140" s="1"/>
    </row>
    <row r="141" spans="1:12" ht="15.75" customHeight="1">
      <c r="A141" s="1"/>
      <c r="B141" s="1"/>
      <c r="C141" s="2"/>
      <c r="D141" s="2"/>
      <c r="E141" s="2"/>
      <c r="F141" s="2"/>
      <c r="G141" s="2"/>
      <c r="H141" s="1"/>
      <c r="I141" s="1"/>
      <c r="J141" s="1"/>
      <c r="K141" s="1"/>
      <c r="L141" s="1"/>
    </row>
    <row r="142" spans="1:12" ht="15.75" customHeight="1">
      <c r="A142" s="1"/>
      <c r="B142" s="1"/>
      <c r="C142" s="2"/>
      <c r="D142" s="2"/>
      <c r="E142" s="2"/>
      <c r="F142" s="2"/>
      <c r="G142" s="2"/>
      <c r="H142" s="1"/>
      <c r="I142" s="1"/>
      <c r="J142" s="1"/>
      <c r="K142" s="1"/>
      <c r="L142" s="1"/>
    </row>
    <row r="143" spans="1:12" ht="15.75" customHeight="1">
      <c r="A143" s="1"/>
      <c r="B143" s="1"/>
      <c r="C143" s="2"/>
      <c r="D143" s="2"/>
      <c r="E143" s="2"/>
      <c r="F143" s="2"/>
      <c r="G143" s="2"/>
      <c r="H143" s="1"/>
      <c r="I143" s="1"/>
      <c r="J143" s="1"/>
      <c r="K143" s="1"/>
      <c r="L143" s="1"/>
    </row>
    <row r="144" spans="1:12" ht="15.75" customHeight="1">
      <c r="A144" s="1"/>
      <c r="B144" s="1"/>
      <c r="C144" s="2"/>
      <c r="D144" s="2"/>
      <c r="E144" s="2"/>
      <c r="F144" s="2"/>
      <c r="G144" s="2"/>
      <c r="H144" s="1"/>
      <c r="I144" s="1"/>
      <c r="J144" s="1"/>
      <c r="K144" s="1"/>
      <c r="L144" s="1"/>
    </row>
    <row r="145" spans="1:12" ht="15.75" customHeight="1">
      <c r="A145" s="1"/>
      <c r="B145" s="1"/>
      <c r="C145" s="2"/>
      <c r="D145" s="2"/>
      <c r="E145" s="2"/>
      <c r="F145" s="2"/>
      <c r="G145" s="2"/>
      <c r="H145" s="1"/>
      <c r="I145" s="1"/>
      <c r="J145" s="1"/>
      <c r="K145" s="1"/>
      <c r="L145" s="1"/>
    </row>
    <row r="146" spans="1:12" ht="15.75" customHeight="1">
      <c r="A146" s="1"/>
      <c r="B146" s="1"/>
      <c r="C146" s="2"/>
      <c r="D146" s="2"/>
      <c r="E146" s="2"/>
      <c r="F146" s="2"/>
      <c r="G146" s="2"/>
      <c r="H146" s="1"/>
      <c r="I146" s="1"/>
      <c r="J146" s="1"/>
      <c r="K146" s="1"/>
      <c r="L146" s="1"/>
    </row>
    <row r="147" spans="1:12" ht="15.75" customHeight="1">
      <c r="A147" s="1"/>
      <c r="B147" s="1"/>
      <c r="C147" s="2"/>
      <c r="D147" s="2"/>
      <c r="E147" s="2"/>
      <c r="F147" s="2"/>
      <c r="G147" s="2"/>
      <c r="H147" s="1"/>
      <c r="I147" s="1"/>
      <c r="J147" s="1"/>
      <c r="K147" s="1"/>
      <c r="L147" s="1"/>
    </row>
    <row r="148" spans="1:12" ht="15.75" customHeight="1">
      <c r="A148" s="1"/>
      <c r="B148" s="1"/>
      <c r="C148" s="2"/>
      <c r="D148" s="2"/>
      <c r="E148" s="2"/>
      <c r="F148" s="2"/>
      <c r="G148" s="2"/>
      <c r="H148" s="1"/>
      <c r="I148" s="1"/>
      <c r="J148" s="1"/>
      <c r="K148" s="1"/>
      <c r="L148" s="1"/>
    </row>
    <row r="149" spans="1:12" ht="15.75" customHeight="1">
      <c r="A149" s="1"/>
      <c r="B149" s="1"/>
      <c r="C149" s="2"/>
      <c r="D149" s="2"/>
      <c r="E149" s="2"/>
      <c r="F149" s="2"/>
      <c r="G149" s="2"/>
      <c r="H149" s="1"/>
      <c r="I149" s="1"/>
      <c r="J149" s="1"/>
      <c r="K149" s="1"/>
      <c r="L149" s="1"/>
    </row>
    <row r="150" spans="1:12" ht="15.75" customHeight="1">
      <c r="A150" s="1"/>
      <c r="B150" s="1"/>
      <c r="C150" s="2"/>
      <c r="D150" s="2"/>
      <c r="E150" s="2"/>
      <c r="F150" s="2"/>
      <c r="G150" s="2"/>
      <c r="H150" s="1"/>
      <c r="I150" s="1"/>
      <c r="J150" s="1"/>
      <c r="K150" s="1"/>
      <c r="L150" s="1"/>
    </row>
    <row r="151" spans="1:12" ht="15.75" customHeight="1">
      <c r="A151" s="1"/>
      <c r="B151" s="1"/>
      <c r="C151" s="2"/>
      <c r="D151" s="2"/>
      <c r="E151" s="2"/>
      <c r="F151" s="2"/>
      <c r="G151" s="2"/>
      <c r="H151" s="1"/>
      <c r="I151" s="1"/>
      <c r="J151" s="1"/>
      <c r="K151" s="1"/>
      <c r="L151" s="1"/>
    </row>
    <row r="152" spans="1:12" ht="15.75" customHeight="1">
      <c r="A152" s="1"/>
      <c r="B152" s="1"/>
      <c r="C152" s="2"/>
      <c r="D152" s="2"/>
      <c r="E152" s="2"/>
      <c r="F152" s="2"/>
      <c r="G152" s="2"/>
      <c r="H152" s="1"/>
      <c r="I152" s="1"/>
      <c r="J152" s="1"/>
      <c r="K152" s="1"/>
      <c r="L152" s="1"/>
    </row>
    <row r="153" spans="1:12" ht="15.75" customHeight="1">
      <c r="A153" s="1"/>
      <c r="B153" s="1"/>
      <c r="C153" s="2"/>
      <c r="D153" s="2"/>
      <c r="E153" s="2"/>
      <c r="F153" s="2"/>
      <c r="G153" s="2"/>
      <c r="H153" s="1"/>
      <c r="I153" s="1"/>
      <c r="J153" s="1"/>
      <c r="K153" s="1"/>
      <c r="L153" s="1"/>
    </row>
    <row r="154" spans="1:12" ht="15.75" customHeight="1">
      <c r="A154" s="1"/>
      <c r="B154" s="1"/>
      <c r="C154" s="2"/>
      <c r="D154" s="2"/>
      <c r="E154" s="2"/>
      <c r="F154" s="2"/>
      <c r="G154" s="2"/>
      <c r="H154" s="1"/>
      <c r="I154" s="1"/>
      <c r="J154" s="1"/>
      <c r="K154" s="1"/>
      <c r="L154" s="1"/>
    </row>
    <row r="155" spans="1:12" ht="15.75" customHeight="1">
      <c r="A155" s="1"/>
      <c r="B155" s="1"/>
      <c r="C155" s="2"/>
      <c r="D155" s="2"/>
      <c r="E155" s="2"/>
      <c r="F155" s="2"/>
      <c r="G155" s="2"/>
      <c r="H155" s="1"/>
      <c r="I155" s="1"/>
      <c r="J155" s="1"/>
      <c r="K155" s="1"/>
      <c r="L155" s="1"/>
    </row>
    <row r="156" spans="1:12" ht="15.75" customHeight="1">
      <c r="A156" s="1"/>
      <c r="B156" s="1"/>
      <c r="C156" s="2"/>
      <c r="D156" s="2"/>
      <c r="E156" s="2"/>
      <c r="F156" s="2"/>
      <c r="G156" s="2"/>
      <c r="H156" s="1"/>
      <c r="I156" s="1"/>
      <c r="J156" s="1"/>
      <c r="K156" s="1"/>
      <c r="L156" s="1"/>
    </row>
    <row r="157" spans="1:12" ht="15.75" customHeight="1">
      <c r="A157" s="1"/>
      <c r="B157" s="1"/>
      <c r="C157" s="2"/>
      <c r="D157" s="2"/>
      <c r="E157" s="2"/>
      <c r="F157" s="2"/>
      <c r="G157" s="2"/>
      <c r="H157" s="1"/>
      <c r="I157" s="1"/>
      <c r="J157" s="1"/>
      <c r="K157" s="1"/>
      <c r="L157" s="1"/>
    </row>
    <row r="158" spans="1:12" ht="15.75" customHeight="1">
      <c r="A158" s="1"/>
      <c r="B158" s="1"/>
      <c r="C158" s="2"/>
      <c r="D158" s="2"/>
      <c r="E158" s="2"/>
      <c r="F158" s="2"/>
      <c r="G158" s="2"/>
      <c r="H158" s="1"/>
      <c r="I158" s="1"/>
      <c r="J158" s="1"/>
      <c r="K158" s="1"/>
      <c r="L158" s="1"/>
    </row>
    <row r="159" spans="1:12" ht="15.75" customHeight="1">
      <c r="A159" s="1"/>
      <c r="B159" s="1"/>
      <c r="C159" s="2"/>
      <c r="D159" s="2"/>
      <c r="E159" s="2"/>
      <c r="F159" s="2"/>
      <c r="G159" s="2"/>
      <c r="H159" s="1"/>
      <c r="I159" s="1"/>
      <c r="J159" s="1"/>
      <c r="K159" s="1"/>
      <c r="L159" s="1"/>
    </row>
    <row r="160" spans="1:12" ht="15.75" customHeight="1">
      <c r="A160" s="1"/>
      <c r="B160" s="1"/>
      <c r="C160" s="2"/>
      <c r="D160" s="2"/>
      <c r="E160" s="2"/>
      <c r="F160" s="2"/>
      <c r="G160" s="2"/>
      <c r="H160" s="1"/>
      <c r="I160" s="1"/>
      <c r="J160" s="1"/>
      <c r="K160" s="1"/>
      <c r="L160" s="1"/>
    </row>
    <row r="161" spans="1:12" ht="15.75" customHeight="1">
      <c r="A161" s="1"/>
      <c r="B161" s="1"/>
      <c r="C161" s="2"/>
      <c r="D161" s="2"/>
      <c r="E161" s="2"/>
      <c r="F161" s="2"/>
      <c r="G161" s="2"/>
      <c r="H161" s="1"/>
      <c r="I161" s="1"/>
      <c r="J161" s="1"/>
      <c r="K161" s="1"/>
      <c r="L161" s="1"/>
    </row>
    <row r="162" spans="1:12" ht="15.75" customHeight="1">
      <c r="A162" s="1"/>
      <c r="B162" s="1"/>
      <c r="C162" s="2"/>
      <c r="D162" s="2"/>
      <c r="E162" s="2"/>
      <c r="F162" s="2"/>
      <c r="G162" s="2"/>
      <c r="H162" s="1"/>
      <c r="I162" s="1"/>
      <c r="J162" s="1"/>
      <c r="K162" s="1"/>
      <c r="L162" s="1"/>
    </row>
    <row r="163" spans="1:12" ht="15.75" customHeight="1">
      <c r="A163" s="1"/>
      <c r="B163" s="1"/>
      <c r="C163" s="2"/>
      <c r="D163" s="2"/>
      <c r="E163" s="2"/>
      <c r="F163" s="2"/>
      <c r="G163" s="2"/>
      <c r="H163" s="1"/>
      <c r="I163" s="1"/>
      <c r="J163" s="1"/>
      <c r="K163" s="1"/>
      <c r="L163" s="1"/>
    </row>
    <row r="164" spans="1:12" ht="15.75" customHeight="1">
      <c r="A164" s="1"/>
      <c r="B164" s="1"/>
      <c r="C164" s="2"/>
      <c r="D164" s="2"/>
      <c r="E164" s="2"/>
      <c r="F164" s="2"/>
      <c r="G164" s="2"/>
      <c r="H164" s="1"/>
      <c r="I164" s="1"/>
      <c r="J164" s="1"/>
      <c r="K164" s="1"/>
      <c r="L164" s="1"/>
    </row>
    <row r="165" spans="1:12" ht="15.75" customHeight="1">
      <c r="A165" s="1"/>
      <c r="B165" s="1"/>
      <c r="C165" s="2"/>
      <c r="D165" s="2"/>
      <c r="E165" s="2"/>
      <c r="F165" s="2"/>
      <c r="G165" s="2"/>
      <c r="H165" s="1"/>
      <c r="I165" s="1"/>
      <c r="J165" s="1"/>
      <c r="K165" s="1"/>
      <c r="L165" s="1"/>
    </row>
    <row r="166" spans="1:12" ht="15.75" customHeight="1">
      <c r="A166" s="1"/>
      <c r="B166" s="1"/>
      <c r="C166" s="2"/>
      <c r="D166" s="2"/>
      <c r="E166" s="2"/>
      <c r="F166" s="2"/>
      <c r="G166" s="2"/>
      <c r="H166" s="1"/>
      <c r="I166" s="1"/>
      <c r="J166" s="1"/>
      <c r="K166" s="1"/>
      <c r="L166" s="1"/>
    </row>
    <row r="167" spans="1:12" ht="15.75" customHeight="1">
      <c r="A167" s="1"/>
      <c r="B167" s="1"/>
      <c r="C167" s="2"/>
      <c r="D167" s="2"/>
      <c r="E167" s="2"/>
      <c r="F167" s="2"/>
      <c r="G167" s="2"/>
      <c r="H167" s="1"/>
      <c r="I167" s="1"/>
      <c r="J167" s="1"/>
      <c r="K167" s="1"/>
      <c r="L167" s="1"/>
    </row>
    <row r="168" spans="1:12" ht="15.75" customHeight="1">
      <c r="A168" s="1"/>
      <c r="B168" s="1"/>
      <c r="C168" s="2"/>
      <c r="D168" s="2"/>
      <c r="E168" s="2"/>
      <c r="F168" s="2"/>
      <c r="G168" s="2"/>
      <c r="H168" s="1"/>
      <c r="I168" s="1"/>
      <c r="J168" s="1"/>
      <c r="K168" s="1"/>
      <c r="L168" s="1"/>
    </row>
    <row r="169" spans="1:12" ht="15.75" customHeight="1">
      <c r="A169" s="1"/>
      <c r="B169" s="1"/>
      <c r="C169" s="2"/>
      <c r="D169" s="2"/>
      <c r="E169" s="2"/>
      <c r="F169" s="2"/>
      <c r="G169" s="2"/>
      <c r="H169" s="1"/>
      <c r="I169" s="1"/>
      <c r="J169" s="1"/>
      <c r="K169" s="1"/>
      <c r="L169" s="1"/>
    </row>
    <row r="170" spans="1:12" ht="15.75" customHeight="1">
      <c r="A170" s="1"/>
      <c r="B170" s="1"/>
      <c r="C170" s="2"/>
      <c r="D170" s="2"/>
      <c r="E170" s="2"/>
      <c r="F170" s="2"/>
      <c r="G170" s="2"/>
      <c r="H170" s="1"/>
      <c r="I170" s="1"/>
      <c r="J170" s="1"/>
      <c r="K170" s="1"/>
      <c r="L170" s="1"/>
    </row>
    <row r="171" spans="1:12" ht="15.75" customHeight="1">
      <c r="A171" s="1"/>
      <c r="B171" s="1"/>
      <c r="C171" s="2"/>
      <c r="D171" s="2"/>
      <c r="E171" s="2"/>
      <c r="F171" s="2"/>
      <c r="G171" s="2"/>
      <c r="H171" s="1"/>
      <c r="I171" s="1"/>
      <c r="J171" s="1"/>
      <c r="K171" s="1"/>
      <c r="L171" s="1"/>
    </row>
    <row r="172" spans="1:12" ht="15.75" customHeight="1">
      <c r="A172" s="1"/>
      <c r="B172" s="1"/>
      <c r="C172" s="2"/>
      <c r="D172" s="2"/>
      <c r="E172" s="2"/>
      <c r="F172" s="2"/>
      <c r="G172" s="2"/>
      <c r="H172" s="1"/>
      <c r="I172" s="1"/>
      <c r="J172" s="1"/>
      <c r="K172" s="1"/>
      <c r="L172" s="1"/>
    </row>
    <row r="173" spans="1:12" ht="15.75" customHeight="1">
      <c r="A173" s="1"/>
      <c r="B173" s="1"/>
      <c r="C173" s="2"/>
      <c r="D173" s="2"/>
      <c r="E173" s="2"/>
      <c r="F173" s="2"/>
      <c r="G173" s="2"/>
      <c r="H173" s="1"/>
      <c r="I173" s="1"/>
      <c r="J173" s="1"/>
      <c r="K173" s="1"/>
      <c r="L173" s="1"/>
    </row>
    <row r="174" spans="1:12" ht="15.75" customHeight="1">
      <c r="A174" s="1"/>
      <c r="B174" s="1"/>
      <c r="C174" s="2"/>
      <c r="D174" s="2"/>
      <c r="E174" s="2"/>
      <c r="F174" s="2"/>
      <c r="G174" s="2"/>
      <c r="H174" s="1"/>
      <c r="I174" s="1"/>
      <c r="J174" s="1"/>
      <c r="K174" s="1"/>
      <c r="L174" s="1"/>
    </row>
    <row r="175" spans="1:12" ht="15.75" customHeight="1">
      <c r="A175" s="1"/>
      <c r="B175" s="1"/>
      <c r="C175" s="2"/>
      <c r="D175" s="2"/>
      <c r="E175" s="2"/>
      <c r="F175" s="2"/>
      <c r="G175" s="2"/>
      <c r="H175" s="1"/>
      <c r="I175" s="1"/>
      <c r="J175" s="1"/>
      <c r="K175" s="1"/>
      <c r="L175" s="1"/>
    </row>
    <row r="176" spans="1:12" ht="15.75" customHeight="1">
      <c r="A176" s="1"/>
      <c r="B176" s="1"/>
      <c r="C176" s="2"/>
      <c r="D176" s="2"/>
      <c r="E176" s="2"/>
      <c r="F176" s="2"/>
      <c r="G176" s="2"/>
      <c r="H176" s="1"/>
      <c r="I176" s="1"/>
      <c r="J176" s="1"/>
      <c r="K176" s="1"/>
      <c r="L176" s="1"/>
    </row>
    <row r="177" spans="1:12" ht="15.75" customHeight="1">
      <c r="A177" s="1"/>
      <c r="B177" s="1"/>
      <c r="C177" s="2"/>
      <c r="D177" s="2"/>
      <c r="E177" s="2"/>
      <c r="F177" s="2"/>
      <c r="G177" s="2"/>
      <c r="H177" s="1"/>
      <c r="I177" s="1"/>
      <c r="J177" s="1"/>
      <c r="K177" s="1"/>
      <c r="L177" s="1"/>
    </row>
    <row r="178" spans="1:12" ht="15.75" customHeight="1">
      <c r="A178" s="1"/>
      <c r="B178" s="1"/>
      <c r="C178" s="2"/>
      <c r="D178" s="2"/>
      <c r="E178" s="2"/>
      <c r="F178" s="2"/>
      <c r="G178" s="2"/>
      <c r="H178" s="1"/>
      <c r="I178" s="1"/>
      <c r="J178" s="1"/>
      <c r="K178" s="1"/>
      <c r="L178" s="1"/>
    </row>
    <row r="179" spans="1:12" ht="15.75" customHeight="1">
      <c r="A179" s="1"/>
      <c r="B179" s="1"/>
      <c r="C179" s="2"/>
      <c r="D179" s="2"/>
      <c r="E179" s="2"/>
      <c r="F179" s="2"/>
      <c r="G179" s="2"/>
      <c r="H179" s="1"/>
      <c r="I179" s="1"/>
      <c r="J179" s="1"/>
      <c r="K179" s="1"/>
      <c r="L179" s="1"/>
    </row>
    <row r="180" spans="1:12" ht="15.75" customHeight="1">
      <c r="A180" s="1"/>
      <c r="B180" s="1"/>
      <c r="C180" s="2"/>
      <c r="D180" s="2"/>
      <c r="E180" s="2"/>
      <c r="F180" s="2"/>
      <c r="G180" s="2"/>
      <c r="H180" s="1"/>
      <c r="I180" s="1"/>
      <c r="J180" s="1"/>
      <c r="K180" s="1"/>
      <c r="L180" s="1"/>
    </row>
    <row r="181" spans="1:12" ht="15.75" customHeight="1">
      <c r="A181" s="1"/>
      <c r="B181" s="1"/>
      <c r="C181" s="2"/>
      <c r="D181" s="2"/>
      <c r="E181" s="2"/>
      <c r="F181" s="2"/>
      <c r="G181" s="2"/>
      <c r="H181" s="1"/>
      <c r="I181" s="1"/>
      <c r="J181" s="1"/>
      <c r="K181" s="1"/>
      <c r="L181" s="1"/>
    </row>
    <row r="182" spans="1:12" ht="15.75" customHeight="1">
      <c r="A182" s="1"/>
      <c r="B182" s="1"/>
      <c r="C182" s="2"/>
      <c r="D182" s="2"/>
      <c r="E182" s="2"/>
      <c r="F182" s="2"/>
      <c r="G182" s="2"/>
      <c r="H182" s="1"/>
      <c r="I182" s="1"/>
      <c r="J182" s="1"/>
      <c r="K182" s="1"/>
      <c r="L182" s="1"/>
    </row>
    <row r="183" spans="1:12" ht="15.75" customHeight="1">
      <c r="A183" s="1"/>
      <c r="B183" s="1"/>
      <c r="C183" s="2"/>
      <c r="D183" s="2"/>
      <c r="E183" s="2"/>
      <c r="F183" s="2"/>
      <c r="G183" s="2"/>
      <c r="H183" s="1"/>
      <c r="I183" s="1"/>
      <c r="J183" s="1"/>
      <c r="K183" s="1"/>
      <c r="L183" s="1"/>
    </row>
    <row r="184" spans="1:12" ht="15.75" customHeight="1">
      <c r="A184" s="1"/>
      <c r="B184" s="1"/>
      <c r="C184" s="2"/>
      <c r="D184" s="2"/>
      <c r="E184" s="2"/>
      <c r="F184" s="2"/>
      <c r="G184" s="2"/>
      <c r="H184" s="1"/>
      <c r="I184" s="1"/>
      <c r="J184" s="1"/>
      <c r="K184" s="1"/>
      <c r="L184" s="1"/>
    </row>
    <row r="185" spans="1:12" ht="15.75" customHeight="1">
      <c r="A185" s="1"/>
      <c r="B185" s="1"/>
      <c r="C185" s="2"/>
      <c r="D185" s="2"/>
      <c r="E185" s="2"/>
      <c r="F185" s="2"/>
      <c r="G185" s="2"/>
      <c r="H185" s="1"/>
      <c r="I185" s="1"/>
      <c r="J185" s="1"/>
      <c r="K185" s="1"/>
      <c r="L185" s="1"/>
    </row>
    <row r="186" spans="1:12" ht="15.75" customHeight="1">
      <c r="A186" s="1"/>
      <c r="B186" s="1"/>
      <c r="C186" s="2"/>
      <c r="D186" s="2"/>
      <c r="E186" s="2"/>
      <c r="F186" s="2"/>
      <c r="G186" s="2"/>
      <c r="H186" s="1"/>
      <c r="I186" s="1"/>
      <c r="J186" s="1"/>
      <c r="K186" s="1"/>
      <c r="L186" s="1"/>
    </row>
    <row r="187" spans="1:12" ht="15.75" customHeight="1">
      <c r="A187" s="1"/>
      <c r="B187" s="1"/>
      <c r="C187" s="2"/>
      <c r="D187" s="2"/>
      <c r="E187" s="2"/>
      <c r="F187" s="2"/>
      <c r="G187" s="2"/>
      <c r="H187" s="1"/>
      <c r="I187" s="1"/>
      <c r="J187" s="1"/>
      <c r="K187" s="1"/>
      <c r="L187" s="1"/>
    </row>
    <row r="188" spans="1:12" ht="15.75" customHeight="1">
      <c r="A188" s="1"/>
      <c r="B188" s="1"/>
      <c r="C188" s="2"/>
      <c r="D188" s="2"/>
      <c r="E188" s="2"/>
      <c r="F188" s="2"/>
      <c r="G188" s="2"/>
      <c r="H188" s="1"/>
      <c r="I188" s="1"/>
      <c r="J188" s="1"/>
      <c r="K188" s="1"/>
      <c r="L188" s="1"/>
    </row>
    <row r="189" spans="1:12" ht="15.75" customHeight="1">
      <c r="A189" s="1"/>
      <c r="B189" s="1"/>
      <c r="C189" s="2"/>
      <c r="D189" s="2"/>
      <c r="E189" s="2"/>
      <c r="F189" s="2"/>
      <c r="G189" s="2"/>
      <c r="H189" s="1"/>
      <c r="I189" s="1"/>
      <c r="J189" s="1"/>
      <c r="K189" s="1"/>
      <c r="L189" s="1"/>
    </row>
    <row r="190" spans="1:12" ht="15.75" customHeight="1">
      <c r="A190" s="1"/>
      <c r="B190" s="1"/>
      <c r="C190" s="2"/>
      <c r="D190" s="2"/>
      <c r="E190" s="2"/>
      <c r="F190" s="2"/>
      <c r="G190" s="2"/>
      <c r="H190" s="1"/>
      <c r="I190" s="1"/>
      <c r="J190" s="1"/>
      <c r="K190" s="1"/>
      <c r="L190" s="1"/>
    </row>
    <row r="191" spans="1:12" ht="15.75" customHeight="1">
      <c r="A191" s="1"/>
      <c r="B191" s="1"/>
      <c r="C191" s="2"/>
      <c r="D191" s="2"/>
      <c r="E191" s="2"/>
      <c r="F191" s="2"/>
      <c r="G191" s="2"/>
      <c r="H191" s="1"/>
      <c r="I191" s="1"/>
      <c r="J191" s="1"/>
      <c r="K191" s="1"/>
      <c r="L191" s="1"/>
    </row>
    <row r="192" spans="1:12" ht="15.75" customHeight="1">
      <c r="A192" s="1"/>
      <c r="B192" s="1"/>
      <c r="C192" s="2"/>
      <c r="D192" s="2"/>
      <c r="E192" s="2"/>
      <c r="F192" s="2"/>
      <c r="G192" s="2"/>
      <c r="H192" s="1"/>
      <c r="I192" s="1"/>
      <c r="J192" s="1"/>
      <c r="K192" s="1"/>
      <c r="L192" s="1"/>
    </row>
    <row r="193" spans="1:12" ht="15.75" customHeight="1">
      <c r="A193" s="1"/>
      <c r="B193" s="1"/>
      <c r="C193" s="2"/>
      <c r="D193" s="2"/>
      <c r="E193" s="2"/>
      <c r="F193" s="2"/>
      <c r="G193" s="2"/>
      <c r="H193" s="1"/>
      <c r="I193" s="1"/>
      <c r="J193" s="1"/>
      <c r="K193" s="1"/>
      <c r="L193" s="1"/>
    </row>
    <row r="194" spans="1:12" ht="15.75" customHeight="1">
      <c r="A194" s="1"/>
      <c r="B194" s="1"/>
      <c r="C194" s="2"/>
      <c r="D194" s="2"/>
      <c r="E194" s="2"/>
      <c r="F194" s="2"/>
      <c r="G194" s="2"/>
      <c r="H194" s="1"/>
      <c r="I194" s="1"/>
      <c r="J194" s="1"/>
      <c r="K194" s="1"/>
      <c r="L194" s="1"/>
    </row>
    <row r="195" spans="1:12" ht="15.75" customHeight="1">
      <c r="A195" s="1"/>
      <c r="B195" s="1"/>
      <c r="C195" s="2"/>
      <c r="D195" s="2"/>
      <c r="E195" s="2"/>
      <c r="F195" s="2"/>
      <c r="G195" s="2"/>
      <c r="H195" s="1"/>
      <c r="I195" s="1"/>
      <c r="J195" s="1"/>
      <c r="K195" s="1"/>
      <c r="L195" s="1"/>
    </row>
    <row r="196" spans="1:12" ht="15.75" customHeight="1">
      <c r="A196" s="1"/>
      <c r="B196" s="1"/>
      <c r="C196" s="2"/>
      <c r="D196" s="2"/>
      <c r="E196" s="2"/>
      <c r="F196" s="2"/>
      <c r="G196" s="2"/>
      <c r="H196" s="1"/>
      <c r="I196" s="1"/>
      <c r="J196" s="1"/>
      <c r="K196" s="1"/>
      <c r="L196" s="1"/>
    </row>
    <row r="197" spans="1:12" ht="15.75" customHeight="1">
      <c r="A197" s="1"/>
      <c r="B197" s="1"/>
      <c r="C197" s="2"/>
      <c r="D197" s="2"/>
      <c r="E197" s="2"/>
      <c r="F197" s="2"/>
      <c r="G197" s="2"/>
      <c r="H197" s="1"/>
      <c r="I197" s="1"/>
      <c r="J197" s="1"/>
      <c r="K197" s="1"/>
      <c r="L197" s="1"/>
    </row>
    <row r="198" spans="1:12" ht="15.75" customHeight="1">
      <c r="A198" s="1"/>
      <c r="B198" s="1"/>
      <c r="C198" s="2"/>
      <c r="D198" s="2"/>
      <c r="E198" s="2"/>
      <c r="F198" s="2"/>
      <c r="G198" s="2"/>
      <c r="H198" s="1"/>
      <c r="I198" s="1"/>
      <c r="J198" s="1"/>
      <c r="K198" s="1"/>
      <c r="L198" s="1"/>
    </row>
    <row r="199" spans="1:12" ht="15.75" customHeight="1">
      <c r="A199" s="1"/>
      <c r="B199" s="1"/>
      <c r="C199" s="2"/>
      <c r="D199" s="2"/>
      <c r="E199" s="2"/>
      <c r="F199" s="2"/>
      <c r="G199" s="2"/>
      <c r="H199" s="1"/>
      <c r="I199" s="1"/>
      <c r="J199" s="1"/>
      <c r="K199" s="1"/>
      <c r="L199" s="1"/>
    </row>
    <row r="200" spans="1:12" ht="15.75" customHeight="1">
      <c r="A200" s="1"/>
      <c r="B200" s="1"/>
      <c r="C200" s="2"/>
      <c r="D200" s="2"/>
      <c r="E200" s="2"/>
      <c r="F200" s="2"/>
      <c r="G200" s="2"/>
      <c r="H200" s="1"/>
      <c r="I200" s="1"/>
      <c r="J200" s="1"/>
      <c r="K200" s="1"/>
      <c r="L200" s="1"/>
    </row>
    <row r="201" spans="1:12" ht="15.75" customHeight="1">
      <c r="A201" s="1"/>
      <c r="B201" s="1"/>
      <c r="C201" s="2"/>
      <c r="D201" s="2"/>
      <c r="E201" s="2"/>
      <c r="F201" s="2"/>
      <c r="G201" s="2"/>
      <c r="H201" s="1"/>
      <c r="I201" s="1"/>
      <c r="J201" s="1"/>
      <c r="K201" s="1"/>
      <c r="L201" s="1"/>
    </row>
    <row r="202" spans="1:12" ht="15.75" customHeight="1">
      <c r="A202" s="1"/>
      <c r="B202" s="1"/>
      <c r="C202" s="2"/>
      <c r="D202" s="2"/>
      <c r="E202" s="2"/>
      <c r="F202" s="2"/>
      <c r="G202" s="2"/>
      <c r="H202" s="1"/>
      <c r="I202" s="1"/>
      <c r="J202" s="1"/>
      <c r="K202" s="1"/>
      <c r="L202" s="1"/>
    </row>
    <row r="203" spans="1:12" ht="15.75" customHeight="1">
      <c r="A203" s="1"/>
      <c r="B203" s="1"/>
      <c r="C203" s="2"/>
      <c r="D203" s="2"/>
      <c r="E203" s="2"/>
      <c r="F203" s="2"/>
      <c r="G203" s="2"/>
      <c r="H203" s="1"/>
      <c r="I203" s="1"/>
      <c r="J203" s="1"/>
      <c r="K203" s="1"/>
      <c r="L203" s="1"/>
    </row>
    <row r="204" spans="1:12" ht="15.75" customHeight="1">
      <c r="A204" s="1"/>
      <c r="B204" s="1"/>
      <c r="C204" s="2"/>
      <c r="D204" s="2"/>
      <c r="E204" s="2"/>
      <c r="F204" s="2"/>
      <c r="G204" s="2"/>
      <c r="H204" s="1"/>
      <c r="I204" s="1"/>
      <c r="J204" s="1"/>
      <c r="K204" s="1"/>
      <c r="L204" s="1"/>
    </row>
    <row r="205" spans="1:12" ht="15.75" customHeight="1">
      <c r="A205" s="1"/>
      <c r="B205" s="1"/>
      <c r="C205" s="2"/>
      <c r="D205" s="2"/>
      <c r="E205" s="2"/>
      <c r="F205" s="2"/>
      <c r="G205" s="2"/>
      <c r="H205" s="1"/>
      <c r="I205" s="1"/>
      <c r="J205" s="1"/>
      <c r="K205" s="1"/>
      <c r="L205" s="1"/>
    </row>
    <row r="206" spans="1:12" ht="15.75" customHeight="1">
      <c r="A206" s="1"/>
      <c r="B206" s="1"/>
      <c r="C206" s="2"/>
      <c r="D206" s="2"/>
      <c r="E206" s="2"/>
      <c r="F206" s="2"/>
      <c r="G206" s="2"/>
      <c r="H206" s="1"/>
      <c r="I206" s="1"/>
      <c r="J206" s="1"/>
      <c r="K206" s="1"/>
      <c r="L206" s="1"/>
    </row>
    <row r="207" spans="1:12" ht="15.75" customHeight="1">
      <c r="A207" s="1"/>
      <c r="B207" s="1"/>
      <c r="C207" s="2"/>
      <c r="D207" s="2"/>
      <c r="E207" s="2"/>
      <c r="F207" s="2"/>
      <c r="G207" s="2"/>
      <c r="H207" s="1"/>
      <c r="I207" s="1"/>
      <c r="J207" s="1"/>
      <c r="K207" s="1"/>
      <c r="L207" s="1"/>
    </row>
    <row r="208" spans="1:12" ht="15.75" customHeight="1">
      <c r="A208" s="1"/>
      <c r="B208" s="1"/>
      <c r="C208" s="2"/>
      <c r="D208" s="2"/>
      <c r="E208" s="2"/>
      <c r="F208" s="2"/>
      <c r="G208" s="2"/>
      <c r="H208" s="1"/>
      <c r="I208" s="1"/>
      <c r="J208" s="1"/>
      <c r="K208" s="1"/>
      <c r="L208" s="1"/>
    </row>
    <row r="209" spans="1:12" ht="15.75" customHeight="1">
      <c r="A209" s="1"/>
      <c r="B209" s="1"/>
      <c r="C209" s="2"/>
      <c r="D209" s="2"/>
      <c r="E209" s="2"/>
      <c r="F209" s="2"/>
      <c r="G209" s="2"/>
      <c r="H209" s="1"/>
      <c r="I209" s="1"/>
      <c r="J209" s="1"/>
      <c r="K209" s="1"/>
      <c r="L209" s="1"/>
    </row>
    <row r="210" spans="1:12" ht="15.75" customHeight="1">
      <c r="A210" s="1"/>
      <c r="B210" s="1"/>
      <c r="C210" s="2"/>
      <c r="D210" s="2"/>
      <c r="E210" s="2"/>
      <c r="F210" s="2"/>
      <c r="G210" s="2"/>
      <c r="H210" s="1"/>
      <c r="I210" s="1"/>
      <c r="J210" s="1"/>
      <c r="K210" s="1"/>
      <c r="L210" s="1"/>
    </row>
    <row r="211" spans="1:12" ht="15.75" customHeight="1">
      <c r="A211" s="1"/>
      <c r="B211" s="1"/>
      <c r="C211" s="2"/>
      <c r="D211" s="2"/>
      <c r="E211" s="2"/>
      <c r="F211" s="2"/>
      <c r="G211" s="2"/>
      <c r="H211" s="1"/>
      <c r="I211" s="1"/>
      <c r="J211" s="1"/>
      <c r="K211" s="1"/>
      <c r="L211" s="1"/>
    </row>
    <row r="212" spans="1:12" ht="15.75" customHeight="1">
      <c r="A212" s="1"/>
      <c r="B212" s="1"/>
      <c r="C212" s="2"/>
      <c r="D212" s="2"/>
      <c r="E212" s="2"/>
      <c r="F212" s="2"/>
      <c r="G212" s="2"/>
      <c r="H212" s="1"/>
      <c r="I212" s="1"/>
      <c r="J212" s="1"/>
      <c r="K212" s="1"/>
      <c r="L212" s="1"/>
    </row>
    <row r="213" spans="1:12" ht="15.75" customHeight="1">
      <c r="A213" s="1"/>
      <c r="B213" s="1"/>
      <c r="C213" s="2"/>
      <c r="D213" s="2"/>
      <c r="E213" s="2"/>
      <c r="F213" s="2"/>
      <c r="G213" s="2"/>
      <c r="H213" s="1"/>
      <c r="I213" s="1"/>
      <c r="J213" s="1"/>
      <c r="K213" s="1"/>
      <c r="L213" s="1"/>
    </row>
    <row r="214" spans="1:12" ht="15.75" customHeight="1">
      <c r="A214" s="1"/>
      <c r="B214" s="1"/>
      <c r="C214" s="2"/>
      <c r="D214" s="2"/>
      <c r="E214" s="2"/>
      <c r="F214" s="2"/>
      <c r="G214" s="2"/>
      <c r="H214" s="1"/>
      <c r="I214" s="1"/>
      <c r="J214" s="1"/>
      <c r="K214" s="1"/>
      <c r="L214" s="1"/>
    </row>
    <row r="215" spans="1:12" ht="15.75" customHeight="1">
      <c r="A215" s="1"/>
      <c r="B215" s="1"/>
      <c r="C215" s="2"/>
      <c r="D215" s="2"/>
      <c r="E215" s="2"/>
      <c r="F215" s="2"/>
      <c r="G215" s="2"/>
      <c r="H215" s="1"/>
      <c r="I215" s="1"/>
      <c r="J215" s="1"/>
      <c r="K215" s="1"/>
      <c r="L215" s="1"/>
    </row>
    <row r="216" spans="1:12" ht="15.75" customHeight="1">
      <c r="A216" s="1"/>
      <c r="B216" s="1"/>
      <c r="C216" s="2"/>
      <c r="D216" s="2"/>
      <c r="E216" s="2"/>
      <c r="F216" s="2"/>
      <c r="G216" s="2"/>
      <c r="H216" s="1"/>
      <c r="I216" s="1"/>
      <c r="J216" s="1"/>
      <c r="K216" s="1"/>
      <c r="L216" s="1"/>
    </row>
    <row r="217" spans="1:12" ht="15.75" customHeight="1">
      <c r="A217" s="1"/>
      <c r="B217" s="1"/>
      <c r="C217" s="2"/>
      <c r="D217" s="2"/>
      <c r="E217" s="2"/>
      <c r="F217" s="2"/>
      <c r="G217" s="2"/>
      <c r="H217" s="1"/>
      <c r="I217" s="1"/>
      <c r="J217" s="1"/>
      <c r="K217" s="1"/>
      <c r="L217" s="1"/>
    </row>
    <row r="218" spans="1:12" ht="15.75" customHeight="1">
      <c r="A218" s="1"/>
      <c r="B218" s="1"/>
      <c r="C218" s="2"/>
      <c r="D218" s="2"/>
      <c r="E218" s="2"/>
      <c r="F218" s="2"/>
      <c r="G218" s="2"/>
      <c r="H218" s="1"/>
      <c r="I218" s="1"/>
      <c r="J218" s="1"/>
      <c r="K218" s="1"/>
      <c r="L218" s="1"/>
    </row>
    <row r="219" spans="1:12" ht="15.75" customHeight="1">
      <c r="A219" s="1"/>
      <c r="B219" s="1"/>
      <c r="C219" s="2"/>
      <c r="D219" s="2"/>
      <c r="E219" s="2"/>
      <c r="F219" s="2"/>
      <c r="G219" s="2"/>
      <c r="H219" s="1"/>
      <c r="I219" s="1"/>
      <c r="J219" s="1"/>
      <c r="K219" s="1"/>
      <c r="L219" s="1"/>
    </row>
    <row r="220" spans="1:12" ht="15.75" customHeight="1">
      <c r="A220" s="1"/>
      <c r="B220" s="1"/>
      <c r="C220" s="2"/>
      <c r="D220" s="2"/>
      <c r="E220" s="2"/>
      <c r="F220" s="2"/>
      <c r="G220" s="2"/>
      <c r="H220" s="1"/>
      <c r="I220" s="1"/>
      <c r="J220" s="1"/>
      <c r="K220" s="1"/>
      <c r="L220" s="1"/>
    </row>
    <row r="221" spans="1:12" ht="15.75" customHeight="1">
      <c r="A221" s="1"/>
      <c r="B221" s="1"/>
      <c r="C221" s="2"/>
      <c r="D221" s="2"/>
      <c r="E221" s="2"/>
      <c r="F221" s="2"/>
      <c r="G221" s="2"/>
      <c r="H221" s="1"/>
      <c r="I221" s="1"/>
      <c r="J221" s="1"/>
      <c r="K221" s="1"/>
      <c r="L221" s="1"/>
    </row>
    <row r="222" spans="1:12" ht="15.75" customHeight="1">
      <c r="A222" s="1"/>
      <c r="B222" s="1"/>
      <c r="C222" s="2"/>
      <c r="D222" s="2"/>
      <c r="E222" s="2"/>
      <c r="F222" s="2"/>
      <c r="G222" s="2"/>
      <c r="H222" s="1"/>
      <c r="I222" s="1"/>
      <c r="J222" s="1"/>
      <c r="K222" s="1"/>
      <c r="L222" s="1"/>
    </row>
    <row r="223" spans="1:12" ht="15.75" customHeight="1">
      <c r="A223" s="1"/>
      <c r="B223" s="1"/>
      <c r="C223" s="2"/>
      <c r="D223" s="2"/>
      <c r="E223" s="2"/>
      <c r="F223" s="2"/>
      <c r="G223" s="2"/>
      <c r="H223" s="1"/>
      <c r="I223" s="1"/>
      <c r="J223" s="1"/>
      <c r="K223" s="1"/>
      <c r="L223" s="1"/>
    </row>
    <row r="224" spans="1:12" ht="15.75" customHeight="1">
      <c r="A224" s="1"/>
      <c r="B224" s="1"/>
      <c r="C224" s="2"/>
      <c r="D224" s="2"/>
      <c r="E224" s="2"/>
      <c r="F224" s="2"/>
      <c r="G224" s="2"/>
      <c r="H224" s="1"/>
      <c r="I224" s="1"/>
      <c r="J224" s="1"/>
      <c r="K224" s="1"/>
      <c r="L224" s="1"/>
    </row>
    <row r="225" spans="1:12" ht="15.75" customHeight="1">
      <c r="A225" s="1"/>
      <c r="B225" s="1"/>
      <c r="C225" s="2"/>
      <c r="D225" s="2"/>
      <c r="E225" s="2"/>
      <c r="F225" s="2"/>
      <c r="G225" s="2"/>
      <c r="H225" s="1"/>
      <c r="I225" s="1"/>
      <c r="J225" s="1"/>
      <c r="K225" s="1"/>
      <c r="L225" s="1"/>
    </row>
    <row r="226" spans="1:12" ht="15.75" customHeight="1">
      <c r="A226" s="1"/>
      <c r="B226" s="1"/>
      <c r="C226" s="2"/>
      <c r="D226" s="2"/>
      <c r="E226" s="2"/>
      <c r="F226" s="2"/>
      <c r="G226" s="2"/>
      <c r="H226" s="1"/>
      <c r="I226" s="1"/>
      <c r="J226" s="1"/>
      <c r="K226" s="1"/>
      <c r="L226" s="1"/>
    </row>
    <row r="227" spans="1:12" ht="15.75" customHeight="1">
      <c r="A227" s="1"/>
      <c r="B227" s="1"/>
      <c r="C227" s="2"/>
      <c r="D227" s="2"/>
      <c r="E227" s="2"/>
      <c r="F227" s="2"/>
      <c r="G227" s="2"/>
      <c r="H227" s="1"/>
      <c r="I227" s="1"/>
      <c r="J227" s="1"/>
      <c r="K227" s="1"/>
      <c r="L227" s="1"/>
    </row>
    <row r="228" spans="1:12" ht="15.75" customHeight="1">
      <c r="A228" s="1"/>
      <c r="B228" s="1"/>
      <c r="C228" s="2"/>
      <c r="D228" s="2"/>
      <c r="E228" s="2"/>
      <c r="F228" s="2"/>
      <c r="G228" s="2"/>
      <c r="H228" s="1"/>
      <c r="I228" s="1"/>
      <c r="J228" s="1"/>
      <c r="K228" s="1"/>
      <c r="L228" s="1"/>
    </row>
    <row r="229" spans="1:12" ht="15.75" customHeight="1">
      <c r="A229" s="1"/>
      <c r="B229" s="1"/>
      <c r="C229" s="2"/>
      <c r="D229" s="2"/>
      <c r="E229" s="2"/>
      <c r="F229" s="2"/>
      <c r="G229" s="2"/>
      <c r="H229" s="1"/>
      <c r="I229" s="1"/>
      <c r="J229" s="1"/>
      <c r="K229" s="1"/>
      <c r="L229" s="1"/>
    </row>
    <row r="230" spans="1:12" ht="15.75" customHeight="1">
      <c r="A230" s="1"/>
      <c r="B230" s="1"/>
      <c r="C230" s="2"/>
      <c r="D230" s="2"/>
      <c r="E230" s="2"/>
      <c r="F230" s="2"/>
      <c r="G230" s="2"/>
      <c r="H230" s="1"/>
      <c r="I230" s="1"/>
      <c r="J230" s="1"/>
      <c r="K230" s="1"/>
      <c r="L230" s="1"/>
    </row>
    <row r="231" spans="1:12" ht="15.75" customHeight="1">
      <c r="A231" s="1"/>
      <c r="B231" s="1"/>
      <c r="C231" s="2"/>
      <c r="D231" s="2"/>
      <c r="E231" s="2"/>
      <c r="F231" s="2"/>
      <c r="G231" s="2"/>
      <c r="H231" s="1"/>
      <c r="I231" s="1"/>
      <c r="J231" s="1"/>
      <c r="K231" s="1"/>
      <c r="L231" s="1"/>
    </row>
    <row r="232" spans="1:12" ht="15.75" customHeight="1">
      <c r="A232" s="1"/>
      <c r="B232" s="1"/>
      <c r="C232" s="2"/>
      <c r="D232" s="2"/>
      <c r="E232" s="2"/>
      <c r="F232" s="2"/>
      <c r="G232" s="2"/>
      <c r="H232" s="1"/>
      <c r="I232" s="1"/>
      <c r="J232" s="1"/>
      <c r="K232" s="1"/>
      <c r="L232" s="1"/>
    </row>
    <row r="233" spans="1:12" ht="15.75" customHeight="1">
      <c r="A233" s="1"/>
      <c r="B233" s="1"/>
      <c r="C233" s="2"/>
      <c r="D233" s="2"/>
      <c r="E233" s="2"/>
      <c r="F233" s="2"/>
      <c r="G233" s="2"/>
      <c r="H233" s="1"/>
      <c r="I233" s="1"/>
      <c r="J233" s="1"/>
      <c r="K233" s="1"/>
      <c r="L233" s="1"/>
    </row>
    <row r="234" spans="1:12" ht="15.75" customHeight="1">
      <c r="A234" s="1"/>
      <c r="B234" s="1"/>
      <c r="C234" s="2"/>
      <c r="D234" s="2"/>
      <c r="E234" s="2"/>
      <c r="F234" s="2"/>
      <c r="G234" s="2"/>
      <c r="H234" s="1"/>
      <c r="I234" s="1"/>
      <c r="J234" s="1"/>
      <c r="K234" s="1"/>
      <c r="L234" s="1"/>
    </row>
    <row r="235" spans="1:12" ht="15.75" customHeight="1">
      <c r="A235" s="1"/>
      <c r="B235" s="1"/>
      <c r="C235" s="2"/>
      <c r="D235" s="2"/>
      <c r="E235" s="2"/>
      <c r="F235" s="2"/>
      <c r="G235" s="2"/>
      <c r="H235" s="1"/>
      <c r="I235" s="1"/>
      <c r="J235" s="1"/>
      <c r="K235" s="1"/>
      <c r="L235" s="1"/>
    </row>
    <row r="236" spans="1:12" ht="15.75" customHeight="1">
      <c r="A236" s="1"/>
      <c r="B236" s="1"/>
      <c r="C236" s="2"/>
      <c r="D236" s="2"/>
      <c r="E236" s="2"/>
      <c r="F236" s="2"/>
      <c r="G236" s="2"/>
      <c r="H236" s="1"/>
      <c r="I236" s="1"/>
      <c r="J236" s="1"/>
      <c r="K236" s="1"/>
      <c r="L236" s="1"/>
    </row>
    <row r="237" spans="1:12" ht="15.75" customHeight="1">
      <c r="A237" s="1"/>
      <c r="B237" s="1"/>
      <c r="C237" s="2"/>
      <c r="D237" s="2"/>
      <c r="E237" s="2"/>
      <c r="F237" s="2"/>
      <c r="G237" s="2"/>
      <c r="H237" s="1"/>
      <c r="I237" s="1"/>
      <c r="J237" s="1"/>
      <c r="K237" s="1"/>
      <c r="L237" s="1"/>
    </row>
    <row r="238" spans="1:12" ht="15.75" customHeight="1">
      <c r="A238" s="1"/>
      <c r="B238" s="1"/>
      <c r="C238" s="2"/>
      <c r="D238" s="2"/>
      <c r="E238" s="2"/>
      <c r="F238" s="2"/>
      <c r="G238" s="2"/>
      <c r="H238" s="1"/>
      <c r="I238" s="1"/>
      <c r="J238" s="1"/>
      <c r="K238" s="1"/>
      <c r="L238" s="1"/>
    </row>
    <row r="239" spans="1:12" ht="15.75" customHeight="1">
      <c r="A239" s="1"/>
      <c r="B239" s="1"/>
      <c r="C239" s="2"/>
      <c r="D239" s="2"/>
      <c r="E239" s="2"/>
      <c r="F239" s="2"/>
      <c r="G239" s="2"/>
      <c r="H239" s="1"/>
      <c r="I239" s="1"/>
      <c r="J239" s="1"/>
      <c r="K239" s="1"/>
      <c r="L239" s="1"/>
    </row>
    <row r="240" spans="1:12" ht="15.75" customHeight="1">
      <c r="A240" s="1"/>
      <c r="B240" s="1"/>
      <c r="C240" s="2"/>
      <c r="D240" s="2"/>
      <c r="E240" s="2"/>
      <c r="F240" s="2"/>
      <c r="G240" s="2"/>
      <c r="H240" s="1"/>
      <c r="I240" s="1"/>
      <c r="J240" s="1"/>
      <c r="K240" s="1"/>
      <c r="L240" s="1"/>
    </row>
    <row r="241" spans="1:12" ht="15.75" customHeight="1">
      <c r="A241" s="1"/>
      <c r="B241" s="1"/>
      <c r="C241" s="2"/>
      <c r="D241" s="2"/>
      <c r="E241" s="2"/>
      <c r="F241" s="2"/>
      <c r="G241" s="2"/>
      <c r="H241" s="1"/>
      <c r="I241" s="1"/>
      <c r="J241" s="1"/>
      <c r="K241" s="1"/>
      <c r="L241" s="1"/>
    </row>
    <row r="242" spans="1:12" ht="15.75" customHeight="1">
      <c r="A242" s="1"/>
      <c r="B242" s="1"/>
      <c r="C242" s="2"/>
      <c r="D242" s="2"/>
      <c r="E242" s="2"/>
      <c r="F242" s="2"/>
      <c r="G242" s="2"/>
      <c r="H242" s="1"/>
      <c r="I242" s="1"/>
      <c r="J242" s="1"/>
      <c r="K242" s="1"/>
      <c r="L242" s="1"/>
    </row>
    <row r="243" spans="1:12" ht="15.75" customHeight="1">
      <c r="A243" s="1"/>
      <c r="B243" s="1"/>
      <c r="C243" s="2"/>
      <c r="D243" s="2"/>
      <c r="E243" s="2"/>
      <c r="F243" s="2"/>
      <c r="G243" s="2"/>
      <c r="H243" s="1"/>
      <c r="I243" s="1"/>
      <c r="J243" s="1"/>
      <c r="K243" s="1"/>
      <c r="L243" s="1"/>
    </row>
    <row r="244" spans="1:12" ht="15.75" customHeight="1">
      <c r="A244" s="1"/>
      <c r="B244" s="1"/>
      <c r="C244" s="2"/>
      <c r="D244" s="2"/>
      <c r="E244" s="2"/>
      <c r="F244" s="2"/>
      <c r="G244" s="2"/>
      <c r="H244" s="1"/>
      <c r="I244" s="1"/>
      <c r="J244" s="1"/>
      <c r="K244" s="1"/>
      <c r="L244" s="1"/>
    </row>
    <row r="245" spans="1:12" ht="15.75" customHeight="1">
      <c r="A245" s="1"/>
      <c r="B245" s="1"/>
      <c r="C245" s="2"/>
      <c r="D245" s="2"/>
      <c r="E245" s="2"/>
      <c r="F245" s="2"/>
      <c r="G245" s="2"/>
      <c r="H245" s="1"/>
      <c r="I245" s="1"/>
      <c r="J245" s="1"/>
      <c r="K245" s="1"/>
      <c r="L245" s="1"/>
    </row>
    <row r="246" spans="1:12" ht="15.75" customHeight="1">
      <c r="A246" s="1"/>
      <c r="B246" s="1"/>
      <c r="C246" s="2"/>
      <c r="D246" s="2"/>
      <c r="E246" s="2"/>
      <c r="F246" s="2"/>
      <c r="G246" s="2"/>
      <c r="H246" s="1"/>
      <c r="I246" s="1"/>
      <c r="J246" s="1"/>
      <c r="K246" s="1"/>
      <c r="L246" s="1"/>
    </row>
    <row r="247" spans="1:12" ht="15.75" customHeight="1">
      <c r="A247" s="1"/>
      <c r="B247" s="1"/>
      <c r="C247" s="2"/>
      <c r="D247" s="2"/>
      <c r="E247" s="2"/>
      <c r="F247" s="2"/>
      <c r="G247" s="2"/>
      <c r="H247" s="1"/>
      <c r="I247" s="1"/>
      <c r="J247" s="1"/>
      <c r="K247" s="1"/>
      <c r="L247" s="1"/>
    </row>
    <row r="248" spans="1:12" ht="15.75" customHeight="1">
      <c r="A248" s="1"/>
      <c r="B248" s="1"/>
      <c r="C248" s="2"/>
      <c r="D248" s="2"/>
      <c r="E248" s="2"/>
      <c r="F248" s="2"/>
      <c r="G248" s="2"/>
      <c r="H248" s="1"/>
      <c r="I248" s="1"/>
      <c r="J248" s="1"/>
      <c r="K248" s="1"/>
      <c r="L248" s="1"/>
    </row>
    <row r="249" spans="1:12" ht="15.75" customHeight="1">
      <c r="A249" s="1"/>
      <c r="B249" s="1"/>
      <c r="C249" s="2"/>
      <c r="D249" s="2"/>
      <c r="E249" s="2"/>
      <c r="F249" s="2"/>
      <c r="G249" s="2"/>
      <c r="H249" s="1"/>
      <c r="I249" s="1"/>
      <c r="J249" s="1"/>
      <c r="K249" s="1"/>
      <c r="L249" s="1"/>
    </row>
    <row r="250" spans="1:12" ht="15.75" customHeight="1">
      <c r="A250" s="1"/>
      <c r="B250" s="1"/>
      <c r="C250" s="2"/>
      <c r="D250" s="2"/>
      <c r="E250" s="2"/>
      <c r="F250" s="2"/>
      <c r="G250" s="2"/>
      <c r="H250" s="1"/>
      <c r="I250" s="1"/>
      <c r="J250" s="1"/>
      <c r="K250" s="1"/>
      <c r="L250" s="1"/>
    </row>
    <row r="251" spans="1:12" ht="15.75" customHeight="1">
      <c r="A251" s="1"/>
      <c r="B251" s="1"/>
      <c r="C251" s="2"/>
      <c r="D251" s="2"/>
      <c r="E251" s="2"/>
      <c r="F251" s="2"/>
      <c r="G251" s="2"/>
      <c r="H251" s="1"/>
      <c r="I251" s="1"/>
      <c r="J251" s="1"/>
      <c r="K251" s="1"/>
      <c r="L251" s="1"/>
    </row>
    <row r="252" spans="1:12" ht="15.75" customHeight="1">
      <c r="A252" s="1"/>
      <c r="B252" s="1"/>
      <c r="C252" s="2"/>
      <c r="D252" s="2"/>
      <c r="E252" s="2"/>
      <c r="F252" s="2"/>
      <c r="G252" s="2"/>
      <c r="H252" s="1"/>
      <c r="I252" s="1"/>
      <c r="J252" s="1"/>
      <c r="K252" s="1"/>
      <c r="L252" s="1"/>
    </row>
    <row r="253" spans="1:12" ht="15.75" customHeight="1">
      <c r="A253" s="1"/>
      <c r="B253" s="1"/>
      <c r="C253" s="2"/>
      <c r="D253" s="2"/>
      <c r="E253" s="2"/>
      <c r="F253" s="2"/>
      <c r="G253" s="2"/>
      <c r="H253" s="1"/>
      <c r="I253" s="1"/>
      <c r="J253" s="1"/>
      <c r="K253" s="1"/>
      <c r="L253" s="1"/>
    </row>
    <row r="254" spans="1:12" ht="15.75" customHeight="1">
      <c r="A254" s="1"/>
      <c r="B254" s="1"/>
      <c r="C254" s="2"/>
      <c r="D254" s="2"/>
      <c r="E254" s="2"/>
      <c r="F254" s="2"/>
      <c r="G254" s="2"/>
      <c r="H254" s="1"/>
      <c r="I254" s="1"/>
      <c r="J254" s="1"/>
      <c r="K254" s="1"/>
      <c r="L254" s="1"/>
    </row>
    <row r="255" spans="1:12" ht="15.75" customHeight="1">
      <c r="A255" s="1"/>
      <c r="B255" s="1"/>
      <c r="C255" s="2"/>
      <c r="D255" s="2"/>
      <c r="E255" s="2"/>
      <c r="F255" s="2"/>
      <c r="G255" s="2"/>
      <c r="H255" s="1"/>
      <c r="I255" s="1"/>
      <c r="J255" s="1"/>
      <c r="K255" s="1"/>
      <c r="L255" s="1"/>
    </row>
    <row r="256" spans="1:12" ht="15.75" customHeight="1">
      <c r="A256" s="1"/>
      <c r="B256" s="1"/>
      <c r="C256" s="2"/>
      <c r="D256" s="2"/>
      <c r="E256" s="2"/>
      <c r="F256" s="2"/>
      <c r="G256" s="2"/>
      <c r="H256" s="1"/>
      <c r="I256" s="1"/>
      <c r="J256" s="1"/>
      <c r="K256" s="1"/>
      <c r="L256" s="1"/>
    </row>
    <row r="257" spans="1:12" ht="15.75" customHeight="1">
      <c r="A257" s="1"/>
      <c r="B257" s="1"/>
      <c r="C257" s="2"/>
      <c r="D257" s="2"/>
      <c r="E257" s="2"/>
      <c r="F257" s="2"/>
      <c r="G257" s="2"/>
      <c r="H257" s="1"/>
      <c r="I257" s="1"/>
      <c r="J257" s="1"/>
      <c r="K257" s="1"/>
      <c r="L257" s="1"/>
    </row>
    <row r="258" spans="1:12" ht="15.75" customHeight="1">
      <c r="A258" s="1"/>
      <c r="B258" s="1"/>
      <c r="C258" s="2"/>
      <c r="D258" s="2"/>
      <c r="E258" s="2"/>
      <c r="F258" s="2"/>
      <c r="G258" s="2"/>
      <c r="H258" s="1"/>
      <c r="I258" s="1"/>
      <c r="J258" s="1"/>
      <c r="K258" s="1"/>
      <c r="L258" s="1"/>
    </row>
    <row r="259" spans="1:12" ht="15.75" customHeight="1">
      <c r="A259" s="1"/>
      <c r="B259" s="1"/>
      <c r="C259" s="2"/>
      <c r="D259" s="2"/>
      <c r="E259" s="2"/>
      <c r="F259" s="2"/>
      <c r="G259" s="2"/>
      <c r="H259" s="1"/>
      <c r="I259" s="1"/>
      <c r="J259" s="1"/>
      <c r="K259" s="1"/>
      <c r="L259" s="1"/>
    </row>
    <row r="260" spans="1:12" ht="15.75" customHeight="1">
      <c r="A260" s="1"/>
      <c r="B260" s="1"/>
      <c r="C260" s="2"/>
      <c r="D260" s="2"/>
      <c r="E260" s="2"/>
      <c r="F260" s="2"/>
      <c r="G260" s="2"/>
      <c r="H260" s="1"/>
      <c r="I260" s="1"/>
      <c r="J260" s="1"/>
      <c r="K260" s="1"/>
      <c r="L260" s="1"/>
    </row>
    <row r="261" spans="1:12" ht="15.75" customHeight="1">
      <c r="A261" s="1"/>
      <c r="B261" s="1"/>
      <c r="C261" s="2"/>
      <c r="D261" s="2"/>
      <c r="E261" s="2"/>
      <c r="F261" s="2"/>
      <c r="G261" s="2"/>
      <c r="H261" s="1"/>
      <c r="I261" s="1"/>
      <c r="J261" s="1"/>
      <c r="K261" s="1"/>
      <c r="L261" s="1"/>
    </row>
    <row r="262" spans="1:12" ht="15.75" customHeight="1">
      <c r="A262" s="1"/>
      <c r="B262" s="1"/>
      <c r="C262" s="2"/>
      <c r="D262" s="2"/>
      <c r="E262" s="2"/>
      <c r="F262" s="2"/>
      <c r="G262" s="2"/>
      <c r="H262" s="1"/>
      <c r="I262" s="1"/>
      <c r="J262" s="1"/>
      <c r="K262" s="1"/>
      <c r="L262" s="1"/>
    </row>
    <row r="263" spans="1:12" ht="15.75" customHeight="1">
      <c r="B263" s="1"/>
      <c r="C263" s="2"/>
      <c r="D263" s="2"/>
      <c r="E263" s="2"/>
      <c r="F263" s="2"/>
      <c r="G263" s="2"/>
      <c r="H263" s="1"/>
      <c r="I263" s="1"/>
      <c r="J263" s="1"/>
      <c r="K263" s="1"/>
      <c r="L263" s="1"/>
    </row>
    <row r="264" spans="1:12" ht="15.75" customHeight="1"/>
    <row r="265" spans="1:12" ht="15.75" customHeight="1"/>
    <row r="266" spans="1:12" ht="15.75" customHeight="1"/>
    <row r="267" spans="1:12" ht="15.75" customHeight="1"/>
    <row r="268" spans="1:12" ht="15.75" customHeight="1"/>
    <row r="269" spans="1:12" ht="15.75" customHeight="1"/>
    <row r="270" spans="1:12" ht="15.75" customHeight="1"/>
    <row r="271" spans="1:12" ht="15.75" customHeight="1"/>
    <row r="272" spans="1:1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8">
    <mergeCell ref="J34:L34"/>
    <mergeCell ref="J35:L35"/>
    <mergeCell ref="J36:L36"/>
    <mergeCell ref="J37:L37"/>
    <mergeCell ref="J13:L13"/>
    <mergeCell ref="J14:L14"/>
    <mergeCell ref="J15:L15"/>
    <mergeCell ref="J16:L16"/>
    <mergeCell ref="J26:L26"/>
    <mergeCell ref="J27:L27"/>
    <mergeCell ref="J28:L28"/>
    <mergeCell ref="J29:L29"/>
    <mergeCell ref="J30:L30"/>
    <mergeCell ref="J19:L19"/>
    <mergeCell ref="J20:L20"/>
    <mergeCell ref="J21:L21"/>
    <mergeCell ref="J22:L22"/>
    <mergeCell ref="J23:L23"/>
    <mergeCell ref="C63:D63"/>
    <mergeCell ref="E63:G63"/>
    <mergeCell ref="H63:J63"/>
    <mergeCell ref="K63:L63"/>
    <mergeCell ref="E62:G62"/>
    <mergeCell ref="H62:J62"/>
    <mergeCell ref="K62:L62"/>
    <mergeCell ref="C62:D62"/>
    <mergeCell ref="H7:H8"/>
    <mergeCell ref="I7:I8"/>
    <mergeCell ref="J7:L8"/>
    <mergeCell ref="J9:L9"/>
    <mergeCell ref="B2:D5"/>
    <mergeCell ref="E2:I3"/>
    <mergeCell ref="J2:L3"/>
    <mergeCell ref="E4:I4"/>
    <mergeCell ref="J4:L6"/>
    <mergeCell ref="F5:I5"/>
    <mergeCell ref="F6:I6"/>
    <mergeCell ref="B6:D6"/>
    <mergeCell ref="B7:B8"/>
    <mergeCell ref="C7:D7"/>
    <mergeCell ref="E7:F8"/>
    <mergeCell ref="G7:G8"/>
    <mergeCell ref="J12:L12"/>
    <mergeCell ref="C58:D61"/>
    <mergeCell ref="C57:D57"/>
    <mergeCell ref="E57:G57"/>
    <mergeCell ref="H57:J57"/>
    <mergeCell ref="K57:L57"/>
    <mergeCell ref="J52:K52"/>
    <mergeCell ref="J53:K53"/>
    <mergeCell ref="J54:K54"/>
    <mergeCell ref="J55:K55"/>
    <mergeCell ref="H45:L47"/>
    <mergeCell ref="H48:L48"/>
    <mergeCell ref="B43:F43"/>
    <mergeCell ref="J51:K51"/>
    <mergeCell ref="H49:L50"/>
    <mergeCell ref="H44:L44"/>
  </mergeCells>
  <pageMargins left="0.23622047244094491" right="0.19685039370078741" top="0.74803149606299213" bottom="0.74803149606299213" header="0.31496062992125984" footer="0.31496062992125984"/>
  <pageSetup paperSize="5" scale="8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000"/>
  <sheetViews>
    <sheetView showGridLines="0" workbookViewId="0"/>
  </sheetViews>
  <sheetFormatPr defaultColWidth="14.44140625" defaultRowHeight="15" customHeight="1"/>
  <cols>
    <col min="1" max="1" width="2.21875" customWidth="1"/>
    <col min="2" max="2" width="23.44140625" customWidth="1"/>
    <col min="3" max="4" width="10.44140625" customWidth="1"/>
    <col min="5" max="6" width="8.77734375" customWidth="1"/>
    <col min="7" max="7" width="9.77734375" customWidth="1"/>
    <col min="8" max="8" width="29.44140625" customWidth="1"/>
    <col min="9" max="9" width="8.77734375" customWidth="1"/>
    <col min="10" max="10" width="18.77734375" customWidth="1"/>
    <col min="11" max="11" width="27.109375" customWidth="1"/>
    <col min="12" max="26" width="14" customWidth="1"/>
  </cols>
  <sheetData>
    <row r="1" spans="1:11" ht="14.4">
      <c r="A1" s="1"/>
      <c r="B1" s="1"/>
      <c r="C1" s="2"/>
      <c r="D1" s="2"/>
      <c r="E1" s="2"/>
      <c r="F1" s="2"/>
      <c r="G1" s="2"/>
      <c r="H1" s="1"/>
      <c r="I1" s="1"/>
      <c r="J1" s="1"/>
      <c r="K1" s="1"/>
    </row>
    <row r="2" spans="1:11" ht="14.4">
      <c r="A2" s="1"/>
      <c r="B2" s="145"/>
      <c r="C2" s="134"/>
      <c r="D2" s="148"/>
      <c r="E2" s="143" t="s">
        <v>0</v>
      </c>
      <c r="F2" s="134"/>
      <c r="G2" s="134"/>
      <c r="H2" s="148"/>
      <c r="I2" s="143" t="s">
        <v>1</v>
      </c>
      <c r="J2" s="134"/>
      <c r="K2" s="135"/>
    </row>
    <row r="3" spans="1:11" ht="14.4">
      <c r="A3" s="1"/>
      <c r="B3" s="130"/>
      <c r="C3" s="125"/>
      <c r="D3" s="173"/>
      <c r="E3" s="149"/>
      <c r="F3" s="147"/>
      <c r="G3" s="147"/>
      <c r="H3" s="150"/>
      <c r="I3" s="149"/>
      <c r="J3" s="147"/>
      <c r="K3" s="152"/>
    </row>
    <row r="4" spans="1:11" ht="14.4">
      <c r="A4" s="1"/>
      <c r="B4" s="130"/>
      <c r="C4" s="125"/>
      <c r="D4" s="173"/>
      <c r="E4" s="153" t="s">
        <v>46</v>
      </c>
      <c r="F4" s="154"/>
      <c r="G4" s="154"/>
      <c r="H4" s="155"/>
      <c r="I4" s="174" t="s">
        <v>47</v>
      </c>
      <c r="J4" s="157"/>
      <c r="K4" s="158"/>
    </row>
    <row r="5" spans="1:11" ht="14.4">
      <c r="A5" s="1"/>
      <c r="B5" s="146"/>
      <c r="C5" s="147"/>
      <c r="D5" s="150"/>
      <c r="E5" s="6" t="s">
        <v>2</v>
      </c>
      <c r="F5" s="159" t="s">
        <v>48</v>
      </c>
      <c r="G5" s="154"/>
      <c r="H5" s="155"/>
      <c r="I5" s="175"/>
      <c r="J5" s="125"/>
      <c r="K5" s="124"/>
    </row>
    <row r="6" spans="1:11" ht="14.4">
      <c r="A6" s="1"/>
      <c r="B6" s="179" t="s">
        <v>49</v>
      </c>
      <c r="C6" s="177"/>
      <c r="D6" s="178"/>
      <c r="E6" s="54" t="s">
        <v>4</v>
      </c>
      <c r="F6" s="176">
        <v>20230682322</v>
      </c>
      <c r="G6" s="177"/>
      <c r="H6" s="178"/>
      <c r="I6" s="144"/>
      <c r="J6" s="132"/>
      <c r="K6" s="128"/>
    </row>
    <row r="7" spans="1:11" ht="14.4">
      <c r="A7" s="1"/>
      <c r="B7" s="163" t="s">
        <v>5</v>
      </c>
      <c r="C7" s="165" t="s">
        <v>6</v>
      </c>
      <c r="D7" s="166"/>
      <c r="E7" s="145" t="s">
        <v>7</v>
      </c>
      <c r="F7" s="135"/>
      <c r="G7" s="180" t="s">
        <v>8</v>
      </c>
      <c r="H7" s="181" t="s">
        <v>9</v>
      </c>
      <c r="I7" s="151" t="s">
        <v>11</v>
      </c>
      <c r="J7" s="134"/>
      <c r="K7" s="135"/>
    </row>
    <row r="8" spans="1:11" ht="14.4">
      <c r="A8" s="1"/>
      <c r="B8" s="164"/>
      <c r="C8" s="8">
        <v>0.33333333333333331</v>
      </c>
      <c r="D8" s="55">
        <v>0.70833333333333337</v>
      </c>
      <c r="E8" s="131"/>
      <c r="F8" s="128"/>
      <c r="G8" s="132"/>
      <c r="H8" s="182"/>
      <c r="I8" s="132"/>
      <c r="J8" s="132"/>
      <c r="K8" s="128"/>
    </row>
    <row r="9" spans="1:11" ht="14.4">
      <c r="A9" s="2"/>
      <c r="B9" s="56" t="s">
        <v>50</v>
      </c>
      <c r="C9" s="57">
        <v>0.33333333333333331</v>
      </c>
      <c r="D9" s="58">
        <v>0.70833333333333337</v>
      </c>
      <c r="E9" s="59">
        <v>0.3298611111111111</v>
      </c>
      <c r="F9" s="60">
        <v>0.73263888888888884</v>
      </c>
      <c r="G9" s="61">
        <v>8</v>
      </c>
      <c r="H9" s="61" t="s">
        <v>51</v>
      </c>
      <c r="I9" s="183" t="s">
        <v>52</v>
      </c>
      <c r="J9" s="154"/>
      <c r="K9" s="184"/>
    </row>
    <row r="10" spans="1:11" ht="14.4">
      <c r="A10" s="9"/>
      <c r="B10" s="62" t="s">
        <v>53</v>
      </c>
      <c r="C10" s="63">
        <v>0.33333333333333331</v>
      </c>
      <c r="D10" s="64">
        <v>0.70833333333333337</v>
      </c>
      <c r="E10" s="65">
        <v>0.3215277777777778</v>
      </c>
      <c r="F10" s="66">
        <v>0.73819444444444449</v>
      </c>
      <c r="G10" s="17">
        <v>8</v>
      </c>
      <c r="H10" s="13" t="s">
        <v>51</v>
      </c>
      <c r="I10" s="183" t="s">
        <v>54</v>
      </c>
      <c r="J10" s="154"/>
      <c r="K10" s="184"/>
    </row>
    <row r="11" spans="1:11" ht="14.4">
      <c r="A11" s="2"/>
      <c r="B11" s="62" t="s">
        <v>55</v>
      </c>
      <c r="C11" s="15">
        <v>0.33333333333333331</v>
      </c>
      <c r="D11" s="16">
        <v>0.70833333333333337</v>
      </c>
      <c r="E11" s="65">
        <v>0.3263888888888889</v>
      </c>
      <c r="F11" s="66">
        <v>0.75416666666666665</v>
      </c>
      <c r="G11" s="17">
        <v>8</v>
      </c>
      <c r="H11" s="13" t="s">
        <v>51</v>
      </c>
      <c r="I11" s="183" t="s">
        <v>56</v>
      </c>
      <c r="J11" s="154"/>
      <c r="K11" s="184"/>
    </row>
    <row r="12" spans="1:11" ht="14.4">
      <c r="A12" s="2"/>
      <c r="B12" s="67" t="s">
        <v>57</v>
      </c>
      <c r="C12" s="11" t="s">
        <v>12</v>
      </c>
      <c r="D12" s="11" t="s">
        <v>12</v>
      </c>
      <c r="E12" s="68"/>
      <c r="F12" s="68"/>
      <c r="G12" s="17">
        <v>0</v>
      </c>
      <c r="H12" s="13"/>
      <c r="I12" s="183"/>
      <c r="J12" s="154"/>
      <c r="K12" s="184"/>
    </row>
    <row r="13" spans="1:11" ht="14.4">
      <c r="A13" s="2"/>
      <c r="B13" s="67" t="s">
        <v>58</v>
      </c>
      <c r="C13" s="11" t="s">
        <v>12</v>
      </c>
      <c r="D13" s="11" t="s">
        <v>12</v>
      </c>
      <c r="E13" s="68"/>
      <c r="F13" s="68"/>
      <c r="G13" s="17">
        <v>0</v>
      </c>
      <c r="H13" s="13"/>
      <c r="I13" s="183"/>
      <c r="J13" s="154"/>
      <c r="K13" s="184"/>
    </row>
    <row r="14" spans="1:11" ht="14.4">
      <c r="A14" s="2"/>
      <c r="B14" s="62" t="s">
        <v>59</v>
      </c>
      <c r="C14" s="15">
        <v>0.33333333333333331</v>
      </c>
      <c r="D14" s="16">
        <v>0.70833333333333337</v>
      </c>
      <c r="E14" s="65">
        <v>0.33611111111111114</v>
      </c>
      <c r="F14" s="66">
        <v>0.81527777777777777</v>
      </c>
      <c r="G14" s="11">
        <v>8</v>
      </c>
      <c r="H14" s="11" t="s">
        <v>51</v>
      </c>
      <c r="I14" s="183" t="s">
        <v>54</v>
      </c>
      <c r="J14" s="154"/>
      <c r="K14" s="184"/>
    </row>
    <row r="15" spans="1:11" ht="14.4">
      <c r="A15" s="2"/>
      <c r="B15" s="62" t="s">
        <v>60</v>
      </c>
      <c r="C15" s="15">
        <v>0.33333333333333331</v>
      </c>
      <c r="D15" s="15">
        <v>0.70833333333333337</v>
      </c>
      <c r="E15" s="66">
        <v>0.32916666666666666</v>
      </c>
      <c r="F15" s="66">
        <v>0.76875000000000004</v>
      </c>
      <c r="G15" s="11">
        <v>8</v>
      </c>
      <c r="H15" s="11" t="s">
        <v>51</v>
      </c>
      <c r="I15" s="183" t="s">
        <v>61</v>
      </c>
      <c r="J15" s="154"/>
      <c r="K15" s="184"/>
    </row>
    <row r="16" spans="1:11" ht="14.4">
      <c r="A16" s="2"/>
      <c r="B16" s="67" t="s">
        <v>62</v>
      </c>
      <c r="C16" s="15">
        <v>0.33333333333333331</v>
      </c>
      <c r="D16" s="15">
        <v>0.70833333333333337</v>
      </c>
      <c r="E16" s="11"/>
      <c r="F16" s="11"/>
      <c r="G16" s="11">
        <v>0</v>
      </c>
      <c r="H16" s="11"/>
      <c r="I16" s="185"/>
      <c r="J16" s="154"/>
      <c r="K16" s="184"/>
    </row>
    <row r="17" spans="1:11" ht="14.4">
      <c r="A17" s="2"/>
      <c r="B17" s="62" t="s">
        <v>63</v>
      </c>
      <c r="C17" s="15">
        <v>0.33333333333333331</v>
      </c>
      <c r="D17" s="16">
        <v>0.70833333333333337</v>
      </c>
      <c r="E17" s="65">
        <v>0.3263888888888889</v>
      </c>
      <c r="F17" s="66">
        <v>0.73402777777777772</v>
      </c>
      <c r="G17" s="11">
        <v>8</v>
      </c>
      <c r="H17" s="11" t="s">
        <v>51</v>
      </c>
      <c r="I17" s="183" t="s">
        <v>61</v>
      </c>
      <c r="J17" s="154"/>
      <c r="K17" s="184"/>
    </row>
    <row r="18" spans="1:11" ht="14.4">
      <c r="A18" s="2"/>
      <c r="B18" s="62" t="s">
        <v>64</v>
      </c>
      <c r="C18" s="15">
        <v>0.33333333333333331</v>
      </c>
      <c r="D18" s="15">
        <v>0.70833333333333337</v>
      </c>
      <c r="E18" s="66">
        <v>0.33194444444444443</v>
      </c>
      <c r="F18" s="66">
        <v>0.73402777777777772</v>
      </c>
      <c r="G18" s="11">
        <v>8</v>
      </c>
      <c r="H18" s="11" t="s">
        <v>51</v>
      </c>
      <c r="I18" s="183" t="s">
        <v>61</v>
      </c>
      <c r="J18" s="154"/>
      <c r="K18" s="184"/>
    </row>
    <row r="19" spans="1:11" ht="14.4">
      <c r="A19" s="2"/>
      <c r="B19" s="67" t="s">
        <v>65</v>
      </c>
      <c r="C19" s="11" t="s">
        <v>12</v>
      </c>
      <c r="D19" s="11" t="s">
        <v>12</v>
      </c>
      <c r="E19" s="68"/>
      <c r="F19" s="68"/>
      <c r="G19" s="11">
        <v>0</v>
      </c>
      <c r="H19" s="11"/>
      <c r="I19" s="185"/>
      <c r="J19" s="154"/>
      <c r="K19" s="184"/>
    </row>
    <row r="20" spans="1:11" ht="14.4">
      <c r="A20" s="2"/>
      <c r="B20" s="67" t="s">
        <v>66</v>
      </c>
      <c r="C20" s="11" t="s">
        <v>12</v>
      </c>
      <c r="D20" s="11" t="s">
        <v>12</v>
      </c>
      <c r="E20" s="68"/>
      <c r="F20" s="68"/>
      <c r="G20" s="11">
        <v>0</v>
      </c>
      <c r="H20" s="11"/>
      <c r="I20" s="185"/>
      <c r="J20" s="154"/>
      <c r="K20" s="184"/>
    </row>
    <row r="21" spans="1:11" ht="15.75" customHeight="1">
      <c r="A21" s="2"/>
      <c r="B21" s="62" t="s">
        <v>67</v>
      </c>
      <c r="C21" s="15">
        <v>0.33333333333333331</v>
      </c>
      <c r="D21" s="16">
        <v>0.70833333333333337</v>
      </c>
      <c r="E21" s="65">
        <v>0.32916666666666666</v>
      </c>
      <c r="F21" s="66">
        <v>0.73472222222222228</v>
      </c>
      <c r="G21" s="11">
        <v>8</v>
      </c>
      <c r="H21" s="11" t="s">
        <v>51</v>
      </c>
      <c r="I21" s="183" t="s">
        <v>68</v>
      </c>
      <c r="J21" s="154"/>
      <c r="K21" s="184"/>
    </row>
    <row r="22" spans="1:11" ht="15.75" customHeight="1">
      <c r="A22" s="2"/>
      <c r="B22" s="62" t="s">
        <v>69</v>
      </c>
      <c r="C22" s="15">
        <v>0.33333333333333331</v>
      </c>
      <c r="D22" s="15">
        <v>0.70833333333333337</v>
      </c>
      <c r="E22" s="66">
        <v>0.33263888888888887</v>
      </c>
      <c r="F22" s="66">
        <v>0.73333333333333328</v>
      </c>
      <c r="G22" s="11">
        <v>8</v>
      </c>
      <c r="H22" s="11" t="s">
        <v>51</v>
      </c>
      <c r="I22" s="183" t="s">
        <v>52</v>
      </c>
      <c r="J22" s="154"/>
      <c r="K22" s="184"/>
    </row>
    <row r="23" spans="1:11" ht="15.75" customHeight="1">
      <c r="A23" s="2"/>
      <c r="B23" s="62" t="s">
        <v>70</v>
      </c>
      <c r="C23" s="15">
        <v>0.33333333333333331</v>
      </c>
      <c r="D23" s="15">
        <v>0.70833333333333337</v>
      </c>
      <c r="E23" s="66">
        <v>0.33194444444444443</v>
      </c>
      <c r="F23" s="66">
        <v>0.75624999999999998</v>
      </c>
      <c r="G23" s="11">
        <v>8</v>
      </c>
      <c r="H23" s="11" t="s">
        <v>51</v>
      </c>
      <c r="I23" s="183" t="s">
        <v>52</v>
      </c>
      <c r="J23" s="154"/>
      <c r="K23" s="184"/>
    </row>
    <row r="24" spans="1:11" ht="15.75" customHeight="1">
      <c r="A24" s="2"/>
      <c r="B24" s="62" t="s">
        <v>71</v>
      </c>
      <c r="C24" s="15">
        <v>0.33333333333333331</v>
      </c>
      <c r="D24" s="15">
        <v>0.70833333333333337</v>
      </c>
      <c r="E24" s="66">
        <v>0.3298611111111111</v>
      </c>
      <c r="F24" s="66">
        <v>0.73402777777777772</v>
      </c>
      <c r="G24" s="11">
        <v>8</v>
      </c>
      <c r="H24" s="11" t="s">
        <v>51</v>
      </c>
      <c r="I24" s="183" t="s">
        <v>72</v>
      </c>
      <c r="J24" s="154"/>
      <c r="K24" s="184"/>
    </row>
    <row r="25" spans="1:11" ht="15.75" customHeight="1">
      <c r="A25" s="2"/>
      <c r="B25" s="62" t="s">
        <v>73</v>
      </c>
      <c r="C25" s="15">
        <v>0.33333333333333331</v>
      </c>
      <c r="D25" s="15">
        <v>0.70833333333333337</v>
      </c>
      <c r="E25" s="66">
        <v>0.33055555555555555</v>
      </c>
      <c r="F25" s="66">
        <v>0.72638888888888886</v>
      </c>
      <c r="G25" s="11">
        <v>8</v>
      </c>
      <c r="H25" s="11" t="s">
        <v>51</v>
      </c>
      <c r="I25" s="183" t="s">
        <v>74</v>
      </c>
      <c r="J25" s="154"/>
      <c r="K25" s="184"/>
    </row>
    <row r="26" spans="1:11" ht="15.75" customHeight="1">
      <c r="A26" s="2"/>
      <c r="B26" s="67" t="s">
        <v>75</v>
      </c>
      <c r="C26" s="11" t="s">
        <v>12</v>
      </c>
      <c r="D26" s="11" t="s">
        <v>12</v>
      </c>
      <c r="E26" s="69"/>
      <c r="F26" s="69"/>
      <c r="G26" s="11">
        <v>0</v>
      </c>
      <c r="H26" s="11"/>
      <c r="I26" s="185"/>
      <c r="J26" s="154"/>
      <c r="K26" s="184"/>
    </row>
    <row r="27" spans="1:11" ht="15.75" customHeight="1">
      <c r="A27" s="2"/>
      <c r="B27" s="67" t="s">
        <v>76</v>
      </c>
      <c r="C27" s="11" t="s">
        <v>12</v>
      </c>
      <c r="D27" s="11" t="s">
        <v>12</v>
      </c>
      <c r="E27" s="68"/>
      <c r="F27" s="68"/>
      <c r="G27" s="11">
        <v>0</v>
      </c>
      <c r="H27" s="11"/>
      <c r="I27" s="185"/>
      <c r="J27" s="154"/>
      <c r="K27" s="184"/>
    </row>
    <row r="28" spans="1:11" ht="15.75" customHeight="1">
      <c r="A28" s="2"/>
      <c r="B28" s="62" t="s">
        <v>77</v>
      </c>
      <c r="C28" s="15">
        <v>0.33333333333333331</v>
      </c>
      <c r="D28" s="15">
        <v>0.70833333333333337</v>
      </c>
      <c r="E28" s="66">
        <v>0.32916666666666666</v>
      </c>
      <c r="F28" s="66">
        <v>0.72638888888888886</v>
      </c>
      <c r="G28" s="11">
        <v>8</v>
      </c>
      <c r="H28" s="11" t="s">
        <v>51</v>
      </c>
      <c r="I28" s="183" t="s">
        <v>78</v>
      </c>
      <c r="J28" s="154"/>
      <c r="K28" s="184"/>
    </row>
    <row r="29" spans="1:11" ht="15.75" customHeight="1">
      <c r="A29" s="2"/>
      <c r="B29" s="62" t="s">
        <v>79</v>
      </c>
      <c r="C29" s="15">
        <v>0.33333333333333331</v>
      </c>
      <c r="D29" s="15">
        <v>0.70833333333333337</v>
      </c>
      <c r="E29" s="66">
        <v>0.3298611111111111</v>
      </c>
      <c r="F29" s="66">
        <v>0.72916666666666663</v>
      </c>
      <c r="G29" s="11">
        <v>8</v>
      </c>
      <c r="H29" s="11" t="s">
        <v>51</v>
      </c>
      <c r="I29" s="183" t="s">
        <v>80</v>
      </c>
      <c r="J29" s="154"/>
      <c r="K29" s="184"/>
    </row>
    <row r="30" spans="1:11" ht="15.75" customHeight="1">
      <c r="A30" s="2"/>
      <c r="B30" s="62" t="s">
        <v>81</v>
      </c>
      <c r="C30" s="63">
        <v>0.33333333333333331</v>
      </c>
      <c r="D30" s="12">
        <v>0.70833333333333337</v>
      </c>
      <c r="E30" s="66">
        <v>0.33124999999999999</v>
      </c>
      <c r="F30" s="66">
        <v>0.73819444444444449</v>
      </c>
      <c r="G30" s="11">
        <v>8</v>
      </c>
      <c r="H30" s="11" t="s">
        <v>51</v>
      </c>
      <c r="I30" s="183" t="s">
        <v>82</v>
      </c>
      <c r="J30" s="154"/>
      <c r="K30" s="184"/>
    </row>
    <row r="31" spans="1:11" ht="15.75" customHeight="1">
      <c r="A31" s="2"/>
      <c r="B31" s="62" t="s">
        <v>83</v>
      </c>
      <c r="C31" s="63">
        <v>0.33333333333333331</v>
      </c>
      <c r="D31" s="12">
        <v>0.70833333333333337</v>
      </c>
      <c r="E31" s="66">
        <v>0.32847222222222222</v>
      </c>
      <c r="F31" s="66">
        <v>0.72916666666666663</v>
      </c>
      <c r="G31" s="11">
        <v>8</v>
      </c>
      <c r="H31" s="11" t="s">
        <v>51</v>
      </c>
      <c r="I31" s="183" t="s">
        <v>84</v>
      </c>
      <c r="J31" s="154"/>
      <c r="K31" s="184"/>
    </row>
    <row r="32" spans="1:11" ht="15.75" customHeight="1">
      <c r="A32" s="2"/>
      <c r="B32" s="62" t="s">
        <v>85</v>
      </c>
      <c r="C32" s="15">
        <v>0.33333333333333331</v>
      </c>
      <c r="D32" s="15">
        <v>0.70833333333333337</v>
      </c>
      <c r="E32" s="66">
        <v>0.3298611111111111</v>
      </c>
      <c r="F32" s="66">
        <v>0.7583333333333333</v>
      </c>
      <c r="G32" s="11">
        <v>8</v>
      </c>
      <c r="H32" s="11" t="s">
        <v>51</v>
      </c>
      <c r="I32" s="183" t="s">
        <v>86</v>
      </c>
      <c r="J32" s="154"/>
      <c r="K32" s="184"/>
    </row>
    <row r="33" spans="1:11" ht="15.75" customHeight="1">
      <c r="A33" s="2"/>
      <c r="B33" s="67" t="s">
        <v>87</v>
      </c>
      <c r="C33" s="11" t="s">
        <v>12</v>
      </c>
      <c r="D33" s="11" t="s">
        <v>12</v>
      </c>
      <c r="E33" s="68"/>
      <c r="F33" s="68"/>
      <c r="G33" s="11">
        <v>0</v>
      </c>
      <c r="H33" s="11"/>
      <c r="I33" s="185"/>
      <c r="J33" s="154"/>
      <c r="K33" s="184"/>
    </row>
    <row r="34" spans="1:11" ht="15.75" customHeight="1">
      <c r="A34" s="2"/>
      <c r="B34" s="67" t="s">
        <v>88</v>
      </c>
      <c r="C34" s="11" t="s">
        <v>12</v>
      </c>
      <c r="D34" s="11" t="s">
        <v>12</v>
      </c>
      <c r="E34" s="68"/>
      <c r="F34" s="68"/>
      <c r="G34" s="11">
        <v>0</v>
      </c>
      <c r="H34" s="11"/>
      <c r="I34" s="185"/>
      <c r="J34" s="154"/>
      <c r="K34" s="184"/>
    </row>
    <row r="35" spans="1:11" ht="15.75" customHeight="1">
      <c r="A35" s="2"/>
      <c r="B35" s="62" t="s">
        <v>89</v>
      </c>
      <c r="C35" s="15">
        <v>0.33333333333333331</v>
      </c>
      <c r="D35" s="15">
        <v>0.70833333333333337</v>
      </c>
      <c r="E35" s="66">
        <v>0.33124999999999999</v>
      </c>
      <c r="F35" s="66">
        <v>0.74305555555555558</v>
      </c>
      <c r="G35" s="11">
        <v>8</v>
      </c>
      <c r="H35" s="11" t="s">
        <v>51</v>
      </c>
      <c r="I35" s="183" t="s">
        <v>90</v>
      </c>
      <c r="J35" s="154"/>
      <c r="K35" s="184"/>
    </row>
    <row r="36" spans="1:11" ht="15.75" customHeight="1">
      <c r="A36" s="2"/>
      <c r="B36" s="62" t="s">
        <v>91</v>
      </c>
      <c r="C36" s="15">
        <v>0.33333333333333331</v>
      </c>
      <c r="D36" s="15">
        <v>0.70833333333333337</v>
      </c>
      <c r="E36" s="66">
        <v>0.3263888888888889</v>
      </c>
      <c r="F36" s="66">
        <v>0.75972222222222219</v>
      </c>
      <c r="G36" s="11">
        <v>8</v>
      </c>
      <c r="H36" s="11" t="s">
        <v>51</v>
      </c>
      <c r="I36" s="183" t="s">
        <v>52</v>
      </c>
      <c r="J36" s="154"/>
      <c r="K36" s="184"/>
    </row>
    <row r="37" spans="1:11" ht="15.75" customHeight="1">
      <c r="A37" s="2"/>
      <c r="B37" s="62" t="s">
        <v>92</v>
      </c>
      <c r="C37" s="63">
        <v>0.33333333333333331</v>
      </c>
      <c r="D37" s="12">
        <v>0.70833333333333337</v>
      </c>
      <c r="E37" s="66">
        <v>0.33333333333333331</v>
      </c>
      <c r="F37" s="66">
        <v>0.73124999999999996</v>
      </c>
      <c r="G37" s="11">
        <v>8</v>
      </c>
      <c r="H37" s="11" t="s">
        <v>51</v>
      </c>
      <c r="I37" s="183" t="s">
        <v>68</v>
      </c>
      <c r="J37" s="154"/>
      <c r="K37" s="184"/>
    </row>
    <row r="38" spans="1:11" ht="15.75" customHeight="1">
      <c r="A38" s="2"/>
      <c r="B38" s="62" t="s">
        <v>93</v>
      </c>
      <c r="C38" s="63">
        <v>0.33333333333333331</v>
      </c>
      <c r="D38" s="12">
        <v>0.70833333333333337</v>
      </c>
      <c r="E38" s="70">
        <v>0.32916666666666666</v>
      </c>
      <c r="F38" s="70">
        <v>0.72291666666666665</v>
      </c>
      <c r="G38" s="11">
        <v>8</v>
      </c>
      <c r="H38" s="11" t="s">
        <v>51</v>
      </c>
      <c r="I38" s="183" t="s">
        <v>94</v>
      </c>
      <c r="J38" s="154"/>
      <c r="K38" s="184"/>
    </row>
    <row r="39" spans="1:11" ht="15.75" customHeight="1">
      <c r="A39" s="2"/>
      <c r="B39" s="71" t="s">
        <v>95</v>
      </c>
      <c r="C39" s="72">
        <v>0.33333333333333331</v>
      </c>
      <c r="D39" s="73">
        <v>0.70833333333333337</v>
      </c>
      <c r="E39" s="74">
        <v>0.33333333333333331</v>
      </c>
      <c r="F39" s="74">
        <v>0.75972222222222219</v>
      </c>
      <c r="G39" s="75">
        <v>8</v>
      </c>
      <c r="H39" s="75" t="s">
        <v>51</v>
      </c>
      <c r="I39" s="187" t="s">
        <v>94</v>
      </c>
      <c r="J39" s="157"/>
      <c r="K39" s="158"/>
    </row>
    <row r="40" spans="1:11" ht="18" customHeight="1">
      <c r="A40" s="1"/>
      <c r="B40" s="136" t="s">
        <v>13</v>
      </c>
      <c r="C40" s="188"/>
      <c r="D40" s="188"/>
      <c r="E40" s="188"/>
      <c r="F40" s="189"/>
      <c r="G40" s="18">
        <f>SUM(G9:G39)</f>
        <v>176</v>
      </c>
      <c r="H40" s="19"/>
      <c r="I40" s="19"/>
      <c r="J40" s="19"/>
      <c r="K40" s="20"/>
    </row>
    <row r="41" spans="1:11" ht="18" customHeight="1">
      <c r="A41" s="1"/>
      <c r="B41" s="21" t="s">
        <v>14</v>
      </c>
      <c r="C41" s="22"/>
      <c r="D41" s="22"/>
      <c r="E41" s="22"/>
      <c r="F41" s="22"/>
      <c r="G41" s="23"/>
      <c r="H41" s="190" t="s">
        <v>15</v>
      </c>
      <c r="I41" s="134"/>
      <c r="J41" s="134"/>
      <c r="K41" s="135"/>
    </row>
    <row r="42" spans="1:11" ht="20.25" customHeight="1">
      <c r="A42" s="1"/>
      <c r="B42" s="24" t="s">
        <v>96</v>
      </c>
      <c r="C42" s="25"/>
      <c r="D42" s="25"/>
      <c r="E42" s="25"/>
      <c r="F42" s="25"/>
      <c r="G42" s="26">
        <v>22</v>
      </c>
      <c r="H42" s="191" t="s">
        <v>17</v>
      </c>
      <c r="I42" s="125"/>
      <c r="J42" s="125"/>
      <c r="K42" s="124"/>
    </row>
    <row r="43" spans="1:11" ht="20.25" customHeight="1">
      <c r="A43" s="1"/>
      <c r="B43" s="24" t="s">
        <v>97</v>
      </c>
      <c r="C43" s="25"/>
      <c r="D43" s="25"/>
      <c r="E43" s="25"/>
      <c r="F43" s="25"/>
      <c r="G43" s="27">
        <v>9</v>
      </c>
      <c r="H43" s="125"/>
      <c r="I43" s="125"/>
      <c r="J43" s="125"/>
      <c r="K43" s="124"/>
    </row>
    <row r="44" spans="1:11" ht="20.25" customHeight="1">
      <c r="A44" s="1"/>
      <c r="B44" s="24" t="s">
        <v>98</v>
      </c>
      <c r="C44" s="25"/>
      <c r="D44" s="25"/>
      <c r="E44" s="25"/>
      <c r="F44" s="25"/>
      <c r="G44" s="27" t="s">
        <v>12</v>
      </c>
      <c r="H44" s="132"/>
      <c r="I44" s="132"/>
      <c r="J44" s="132"/>
      <c r="K44" s="128"/>
    </row>
    <row r="45" spans="1:11" ht="20.25" customHeight="1">
      <c r="A45" s="1"/>
      <c r="B45" s="24" t="s">
        <v>99</v>
      </c>
      <c r="C45" s="25"/>
      <c r="D45" s="25"/>
      <c r="E45" s="25"/>
      <c r="F45" s="25"/>
      <c r="G45" s="27" t="s">
        <v>12</v>
      </c>
      <c r="H45" s="76" t="s">
        <v>21</v>
      </c>
      <c r="I45" s="19"/>
      <c r="J45" s="19"/>
      <c r="K45" s="20"/>
    </row>
    <row r="46" spans="1:11" ht="20.25" customHeight="1">
      <c r="A46" s="1"/>
      <c r="B46" s="24" t="s">
        <v>100</v>
      </c>
      <c r="C46" s="25"/>
      <c r="D46" s="25"/>
      <c r="E46" s="25"/>
      <c r="F46" s="25"/>
      <c r="G46" s="27" t="s">
        <v>12</v>
      </c>
      <c r="H46" s="186" t="s">
        <v>23</v>
      </c>
      <c r="I46" s="1"/>
      <c r="J46" s="1"/>
      <c r="K46" s="48"/>
    </row>
    <row r="47" spans="1:11" ht="20.25" customHeight="1">
      <c r="A47" s="1"/>
      <c r="B47" s="24" t="s">
        <v>101</v>
      </c>
      <c r="C47" s="25"/>
      <c r="D47" s="25"/>
      <c r="E47" s="25"/>
      <c r="F47" s="25"/>
      <c r="G47" s="27">
        <v>22</v>
      </c>
      <c r="H47" s="132"/>
      <c r="I47" s="1"/>
      <c r="J47" s="1"/>
      <c r="K47" s="48"/>
    </row>
    <row r="48" spans="1:11" ht="20.25" customHeight="1">
      <c r="A48" s="1"/>
      <c r="B48" s="24" t="s">
        <v>102</v>
      </c>
      <c r="C48" s="25"/>
      <c r="D48" s="25"/>
      <c r="E48" s="25"/>
      <c r="F48" s="25"/>
      <c r="G48" s="29">
        <f>G47/G42</f>
        <v>1</v>
      </c>
      <c r="H48" s="77" t="s">
        <v>26</v>
      </c>
      <c r="I48" s="139" t="s">
        <v>27</v>
      </c>
      <c r="J48" s="140"/>
      <c r="K48" s="32" t="s">
        <v>28</v>
      </c>
    </row>
    <row r="49" spans="1:11" ht="24" customHeight="1">
      <c r="A49" s="1"/>
      <c r="B49" s="33" t="s">
        <v>14</v>
      </c>
      <c r="C49" s="25"/>
      <c r="D49" s="25"/>
      <c r="E49" s="25"/>
      <c r="F49" s="25"/>
      <c r="G49" s="34"/>
      <c r="H49" s="35" t="s">
        <v>29</v>
      </c>
      <c r="I49" s="126" t="s">
        <v>29</v>
      </c>
      <c r="J49" s="124"/>
      <c r="K49" s="37" t="s">
        <v>29</v>
      </c>
    </row>
    <row r="50" spans="1:11" ht="24" customHeight="1">
      <c r="A50" s="1"/>
      <c r="B50" s="24" t="s">
        <v>103</v>
      </c>
      <c r="C50" s="2"/>
      <c r="D50" s="2"/>
      <c r="E50" s="2"/>
      <c r="F50" s="25"/>
      <c r="G50" s="27">
        <f>8*G42</f>
        <v>176</v>
      </c>
      <c r="H50" s="35" t="s">
        <v>31</v>
      </c>
      <c r="I50" s="126" t="s">
        <v>31</v>
      </c>
      <c r="J50" s="124"/>
      <c r="K50" s="37" t="s">
        <v>31</v>
      </c>
    </row>
    <row r="51" spans="1:11" ht="24" customHeight="1">
      <c r="A51" s="1"/>
      <c r="B51" s="24" t="s">
        <v>104</v>
      </c>
      <c r="C51" s="2"/>
      <c r="D51" s="2"/>
      <c r="E51" s="2"/>
      <c r="F51" s="2"/>
      <c r="G51" s="26">
        <f>G40</f>
        <v>176</v>
      </c>
      <c r="H51" s="35" t="s">
        <v>33</v>
      </c>
      <c r="I51" s="126" t="s">
        <v>33</v>
      </c>
      <c r="J51" s="124"/>
      <c r="K51" s="37" t="s">
        <v>33</v>
      </c>
    </row>
    <row r="52" spans="1:11" ht="24" customHeight="1">
      <c r="A52" s="1"/>
      <c r="B52" s="38" t="s">
        <v>105</v>
      </c>
      <c r="C52" s="39"/>
      <c r="D52" s="39"/>
      <c r="E52" s="39"/>
      <c r="F52" s="39"/>
      <c r="G52" s="40">
        <f>G51/G50</f>
        <v>1</v>
      </c>
      <c r="H52" s="41" t="s">
        <v>35</v>
      </c>
      <c r="I52" s="127" t="s">
        <v>35</v>
      </c>
      <c r="J52" s="128"/>
      <c r="K52" s="43" t="s">
        <v>35</v>
      </c>
    </row>
    <row r="53" spans="1:11" ht="5.25" customHeight="1">
      <c r="A53" s="1"/>
      <c r="B53" s="44"/>
      <c r="C53" s="3"/>
      <c r="D53" s="45"/>
      <c r="E53" s="3"/>
      <c r="F53" s="4"/>
      <c r="G53" s="45"/>
      <c r="H53" s="44"/>
      <c r="I53" s="20"/>
      <c r="J53" s="19"/>
      <c r="K53" s="20"/>
    </row>
    <row r="54" spans="1:11" ht="15.75" customHeight="1">
      <c r="A54" s="1"/>
      <c r="B54" s="28" t="s">
        <v>5</v>
      </c>
      <c r="C54" s="122" t="s">
        <v>36</v>
      </c>
      <c r="D54" s="124"/>
      <c r="E54" s="122" t="s">
        <v>37</v>
      </c>
      <c r="F54" s="125"/>
      <c r="G54" s="124"/>
      <c r="H54" s="122" t="s">
        <v>38</v>
      </c>
      <c r="I54" s="124"/>
      <c r="J54" s="122" t="s">
        <v>106</v>
      </c>
      <c r="K54" s="124"/>
    </row>
    <row r="55" spans="1:11" ht="15.75" customHeight="1">
      <c r="A55" s="1"/>
      <c r="B55" s="47"/>
      <c r="C55" s="47"/>
      <c r="D55" s="48"/>
      <c r="E55" s="47"/>
      <c r="F55" s="1"/>
      <c r="G55" s="48"/>
      <c r="H55" s="47"/>
      <c r="I55" s="48"/>
      <c r="J55" s="1"/>
      <c r="K55" s="48"/>
    </row>
    <row r="56" spans="1:11" ht="15.75" customHeight="1">
      <c r="A56" s="1"/>
      <c r="B56" s="47"/>
      <c r="C56" s="47"/>
      <c r="D56" s="48"/>
      <c r="E56" s="47"/>
      <c r="F56" s="1"/>
      <c r="G56" s="48"/>
      <c r="H56" s="47"/>
      <c r="I56" s="48"/>
      <c r="J56" s="1"/>
      <c r="K56" s="48"/>
    </row>
    <row r="57" spans="1:11" ht="15.75" customHeight="1">
      <c r="A57" s="1"/>
      <c r="B57" s="78"/>
      <c r="C57" s="47"/>
      <c r="D57" s="48"/>
      <c r="E57" s="47"/>
      <c r="F57" s="1"/>
      <c r="G57" s="48"/>
      <c r="H57" s="47"/>
      <c r="I57" s="48"/>
      <c r="J57" s="1"/>
      <c r="K57" s="48"/>
    </row>
    <row r="58" spans="1:11" ht="15.75" customHeight="1">
      <c r="A58" s="1"/>
      <c r="B58" s="47"/>
      <c r="C58" s="47"/>
      <c r="D58" s="48"/>
      <c r="E58" s="47"/>
      <c r="F58" s="1"/>
      <c r="G58" s="48"/>
      <c r="H58" s="47"/>
      <c r="I58" s="48"/>
      <c r="J58" s="1"/>
      <c r="K58" s="48"/>
    </row>
    <row r="59" spans="1:11" ht="15.75" customHeight="1">
      <c r="A59" s="51"/>
      <c r="B59" s="52"/>
      <c r="C59" s="170" t="s">
        <v>107</v>
      </c>
      <c r="D59" s="124"/>
      <c r="E59" s="170" t="s">
        <v>108</v>
      </c>
      <c r="F59" s="125"/>
      <c r="G59" s="124"/>
      <c r="H59" s="170" t="s">
        <v>109</v>
      </c>
      <c r="I59" s="124"/>
      <c r="J59" s="170" t="s">
        <v>110</v>
      </c>
      <c r="K59" s="124"/>
    </row>
    <row r="60" spans="1:11" ht="15.75" customHeight="1">
      <c r="A60" s="1"/>
      <c r="B60" s="53"/>
      <c r="C60" s="169"/>
      <c r="D60" s="128"/>
      <c r="E60" s="169" t="s">
        <v>111</v>
      </c>
      <c r="F60" s="132"/>
      <c r="G60" s="128"/>
      <c r="H60" s="169" t="s">
        <v>112</v>
      </c>
      <c r="I60" s="128"/>
      <c r="J60" s="169" t="s">
        <v>113</v>
      </c>
      <c r="K60" s="128"/>
    </row>
    <row r="61" spans="1:11" ht="15.75" customHeight="1">
      <c r="A61" s="1"/>
      <c r="B61" s="1"/>
      <c r="C61" s="2"/>
      <c r="D61" s="2"/>
      <c r="E61" s="2"/>
      <c r="F61" s="2"/>
      <c r="G61" s="2"/>
      <c r="H61" s="1"/>
      <c r="I61" s="1"/>
      <c r="J61" s="1"/>
      <c r="K61" s="1"/>
    </row>
    <row r="62" spans="1:11" ht="15.75" customHeight="1">
      <c r="A62" s="1"/>
      <c r="B62" s="1"/>
      <c r="C62" s="2"/>
      <c r="D62" s="2"/>
      <c r="E62" s="2"/>
      <c r="F62" s="2"/>
      <c r="G62" s="2"/>
      <c r="H62" s="1"/>
      <c r="I62" s="1"/>
      <c r="J62" s="1"/>
      <c r="K62" s="1"/>
    </row>
    <row r="63" spans="1:11" ht="15.75" customHeight="1">
      <c r="A63" s="1"/>
      <c r="B63" s="1"/>
      <c r="C63" s="2"/>
      <c r="D63" s="2"/>
      <c r="E63" s="2"/>
      <c r="F63" s="2"/>
      <c r="G63" s="2"/>
      <c r="H63" s="1"/>
      <c r="I63" s="1"/>
      <c r="J63" s="1"/>
      <c r="K63" s="1"/>
    </row>
    <row r="64" spans="1:11" ht="15.75" customHeight="1">
      <c r="A64" s="1"/>
      <c r="B64" s="1"/>
      <c r="C64" s="2"/>
      <c r="D64" s="2"/>
      <c r="E64" s="2"/>
      <c r="F64" s="2"/>
      <c r="G64" s="2"/>
      <c r="H64" s="1"/>
      <c r="I64" s="1"/>
      <c r="J64" s="1"/>
      <c r="K64" s="1"/>
    </row>
    <row r="65" spans="1:11" ht="15.75" customHeight="1">
      <c r="A65" s="1"/>
      <c r="B65" s="1"/>
      <c r="C65" s="2"/>
      <c r="D65" s="2"/>
      <c r="E65" s="2"/>
      <c r="F65" s="2"/>
      <c r="G65" s="2"/>
      <c r="H65" s="1"/>
      <c r="I65" s="1"/>
      <c r="J65" s="1"/>
      <c r="K65" s="1"/>
    </row>
    <row r="66" spans="1:11" ht="15.75" customHeight="1">
      <c r="A66" s="1"/>
      <c r="B66" s="1"/>
      <c r="C66" s="2"/>
      <c r="D66" s="2"/>
      <c r="E66" s="2"/>
      <c r="F66" s="2"/>
      <c r="G66" s="2"/>
      <c r="H66" s="1"/>
      <c r="I66" s="1"/>
      <c r="J66" s="1"/>
      <c r="K66" s="1"/>
    </row>
    <row r="67" spans="1:11" ht="15.75" customHeight="1">
      <c r="A67" s="1"/>
      <c r="B67" s="1"/>
      <c r="C67" s="2"/>
      <c r="D67" s="2"/>
      <c r="E67" s="2"/>
      <c r="F67" s="2"/>
      <c r="G67" s="2"/>
      <c r="H67" s="1"/>
      <c r="I67" s="1"/>
      <c r="J67" s="1"/>
      <c r="K67" s="1"/>
    </row>
    <row r="68" spans="1:11" ht="15.75" customHeight="1">
      <c r="A68" s="1"/>
      <c r="B68" s="1"/>
      <c r="C68" s="2"/>
      <c r="D68" s="2"/>
      <c r="E68" s="2"/>
      <c r="F68" s="2"/>
      <c r="G68" s="2"/>
      <c r="H68" s="1"/>
      <c r="I68" s="1"/>
      <c r="J68" s="1"/>
      <c r="K68" s="1"/>
    </row>
    <row r="69" spans="1:11" ht="15.75" customHeight="1">
      <c r="A69" s="1"/>
      <c r="B69" s="1"/>
      <c r="C69" s="2"/>
      <c r="D69" s="2"/>
      <c r="E69" s="2"/>
      <c r="F69" s="2"/>
      <c r="G69" s="2"/>
      <c r="H69" s="1"/>
      <c r="I69" s="1"/>
      <c r="J69" s="1"/>
      <c r="K69" s="1"/>
    </row>
    <row r="70" spans="1:11" ht="15.75" customHeight="1">
      <c r="A70" s="1"/>
      <c r="B70" s="1"/>
      <c r="C70" s="2"/>
      <c r="D70" s="2"/>
      <c r="E70" s="2"/>
      <c r="F70" s="2"/>
      <c r="G70" s="2"/>
      <c r="H70" s="1"/>
      <c r="I70" s="1"/>
      <c r="J70" s="1"/>
      <c r="K70" s="1"/>
    </row>
    <row r="71" spans="1:11" ht="15.75" customHeight="1">
      <c r="A71" s="1"/>
      <c r="B71" s="1"/>
      <c r="C71" s="2"/>
      <c r="D71" s="2"/>
      <c r="E71" s="2"/>
      <c r="F71" s="2"/>
      <c r="G71" s="2"/>
      <c r="H71" s="1"/>
      <c r="I71" s="1"/>
      <c r="J71" s="1"/>
      <c r="K71" s="1"/>
    </row>
    <row r="72" spans="1:11" ht="15.75" customHeight="1">
      <c r="A72" s="1"/>
      <c r="B72" s="1"/>
      <c r="C72" s="2"/>
      <c r="D72" s="2"/>
      <c r="E72" s="2"/>
      <c r="F72" s="2"/>
      <c r="G72" s="2"/>
      <c r="H72" s="1"/>
      <c r="I72" s="1"/>
      <c r="J72" s="1"/>
      <c r="K72" s="1"/>
    </row>
    <row r="73" spans="1:11" ht="15.75" customHeight="1">
      <c r="A73" s="1"/>
      <c r="B73" s="1"/>
      <c r="C73" s="2"/>
      <c r="D73" s="2"/>
      <c r="E73" s="2"/>
      <c r="F73" s="2"/>
      <c r="G73" s="2"/>
      <c r="H73" s="1"/>
      <c r="I73" s="1"/>
      <c r="J73" s="1"/>
      <c r="K73" s="1"/>
    </row>
    <row r="74" spans="1:11" ht="15.75" customHeight="1">
      <c r="A74" s="1"/>
      <c r="B74" s="1"/>
      <c r="C74" s="2"/>
      <c r="D74" s="2"/>
      <c r="E74" s="2"/>
      <c r="F74" s="2"/>
      <c r="G74" s="2"/>
      <c r="H74" s="1"/>
      <c r="I74" s="1"/>
      <c r="J74" s="1"/>
      <c r="K74" s="1"/>
    </row>
    <row r="75" spans="1:11" ht="15.75" customHeight="1">
      <c r="A75" s="1"/>
      <c r="B75" s="1"/>
      <c r="C75" s="2"/>
      <c r="D75" s="2"/>
      <c r="E75" s="2"/>
      <c r="F75" s="2"/>
      <c r="G75" s="2"/>
      <c r="H75" s="1"/>
      <c r="I75" s="1"/>
      <c r="J75" s="1"/>
      <c r="K75" s="1"/>
    </row>
    <row r="76" spans="1:11" ht="15.75" customHeight="1">
      <c r="A76" s="1"/>
      <c r="B76" s="1"/>
      <c r="C76" s="2"/>
      <c r="D76" s="2"/>
      <c r="E76" s="2"/>
      <c r="F76" s="2"/>
      <c r="G76" s="2"/>
      <c r="H76" s="1"/>
      <c r="I76" s="1"/>
      <c r="J76" s="1"/>
      <c r="K76" s="1"/>
    </row>
    <row r="77" spans="1:11" ht="15.75" customHeight="1">
      <c r="A77" s="1"/>
      <c r="B77" s="1"/>
      <c r="C77" s="2"/>
      <c r="D77" s="2"/>
      <c r="E77" s="2"/>
      <c r="F77" s="2"/>
      <c r="G77" s="2"/>
      <c r="H77" s="1"/>
      <c r="I77" s="1"/>
      <c r="J77" s="1"/>
      <c r="K77" s="1"/>
    </row>
    <row r="78" spans="1:11" ht="15.75" customHeight="1">
      <c r="A78" s="1"/>
      <c r="B78" s="1"/>
      <c r="C78" s="2"/>
      <c r="D78" s="2"/>
      <c r="E78" s="2"/>
      <c r="F78" s="2"/>
      <c r="G78" s="2"/>
      <c r="H78" s="1"/>
      <c r="I78" s="1"/>
      <c r="J78" s="1"/>
      <c r="K78" s="1"/>
    </row>
    <row r="79" spans="1:11" ht="15.75" customHeight="1">
      <c r="A79" s="1"/>
      <c r="B79" s="1"/>
      <c r="C79" s="2"/>
      <c r="D79" s="2"/>
      <c r="E79" s="2"/>
      <c r="F79" s="2"/>
      <c r="G79" s="2"/>
      <c r="H79" s="1"/>
      <c r="I79" s="1"/>
      <c r="J79" s="1"/>
      <c r="K79" s="1"/>
    </row>
    <row r="80" spans="1:11" ht="15.75" customHeight="1">
      <c r="A80" s="1"/>
      <c r="B80" s="1"/>
      <c r="C80" s="2"/>
      <c r="D80" s="2"/>
      <c r="E80" s="2"/>
      <c r="F80" s="2"/>
      <c r="G80" s="2"/>
      <c r="H80" s="1"/>
      <c r="I80" s="1"/>
      <c r="J80" s="1"/>
      <c r="K80" s="1"/>
    </row>
    <row r="81" spans="1:11" ht="15.75" customHeight="1">
      <c r="A81" s="1"/>
      <c r="B81" s="1"/>
      <c r="C81" s="2"/>
      <c r="D81" s="2"/>
      <c r="E81" s="2"/>
      <c r="F81" s="2"/>
      <c r="G81" s="2"/>
      <c r="H81" s="1"/>
      <c r="I81" s="1"/>
      <c r="J81" s="1"/>
      <c r="K81" s="1"/>
    </row>
    <row r="82" spans="1:11" ht="15.75" customHeight="1">
      <c r="A82" s="1"/>
      <c r="B82" s="1"/>
      <c r="C82" s="2"/>
      <c r="D82" s="2"/>
      <c r="E82" s="2"/>
      <c r="F82" s="2"/>
      <c r="G82" s="2"/>
      <c r="H82" s="1"/>
      <c r="I82" s="1"/>
      <c r="J82" s="1"/>
      <c r="K82" s="1"/>
    </row>
    <row r="83" spans="1:11" ht="15.75" customHeight="1">
      <c r="A83" s="1"/>
      <c r="B83" s="1"/>
      <c r="C83" s="2"/>
      <c r="D83" s="2"/>
      <c r="E83" s="2"/>
      <c r="F83" s="2"/>
      <c r="G83" s="2"/>
      <c r="H83" s="1"/>
      <c r="I83" s="1"/>
      <c r="J83" s="1"/>
      <c r="K83" s="1"/>
    </row>
    <row r="84" spans="1:11" ht="15.75" customHeight="1">
      <c r="A84" s="1"/>
      <c r="B84" s="1"/>
      <c r="C84" s="2"/>
      <c r="D84" s="2"/>
      <c r="E84" s="2"/>
      <c r="F84" s="2"/>
      <c r="G84" s="2"/>
      <c r="H84" s="1"/>
      <c r="I84" s="1"/>
      <c r="J84" s="1"/>
      <c r="K84" s="1"/>
    </row>
    <row r="85" spans="1:11" ht="15.75" customHeight="1">
      <c r="A85" s="1"/>
      <c r="B85" s="1"/>
      <c r="C85" s="2"/>
      <c r="D85" s="2"/>
      <c r="E85" s="2"/>
      <c r="F85" s="2"/>
      <c r="G85" s="2"/>
      <c r="H85" s="1"/>
      <c r="I85" s="1"/>
      <c r="J85" s="1"/>
      <c r="K85" s="1"/>
    </row>
    <row r="86" spans="1:11" ht="15.75" customHeight="1">
      <c r="A86" s="1"/>
      <c r="B86" s="1"/>
      <c r="C86" s="2"/>
      <c r="D86" s="2"/>
      <c r="E86" s="2"/>
      <c r="F86" s="2"/>
      <c r="G86" s="2"/>
      <c r="H86" s="1"/>
      <c r="I86" s="1"/>
      <c r="J86" s="1"/>
      <c r="K86" s="1"/>
    </row>
    <row r="87" spans="1:11" ht="15.75" customHeight="1">
      <c r="A87" s="1"/>
      <c r="B87" s="1"/>
      <c r="C87" s="2"/>
      <c r="D87" s="2"/>
      <c r="E87" s="2"/>
      <c r="F87" s="2"/>
      <c r="G87" s="2"/>
      <c r="H87" s="1"/>
      <c r="I87" s="1"/>
      <c r="J87" s="1"/>
      <c r="K87" s="1"/>
    </row>
    <row r="88" spans="1:11" ht="15.75" customHeight="1">
      <c r="A88" s="1"/>
      <c r="B88" s="1"/>
      <c r="C88" s="2"/>
      <c r="D88" s="2"/>
      <c r="E88" s="2"/>
      <c r="F88" s="2"/>
      <c r="G88" s="2"/>
      <c r="H88" s="1"/>
      <c r="I88" s="1"/>
      <c r="J88" s="1"/>
      <c r="K88" s="1"/>
    </row>
    <row r="89" spans="1:11" ht="15.75" customHeight="1">
      <c r="A89" s="1"/>
      <c r="B89" s="1"/>
      <c r="C89" s="2"/>
      <c r="D89" s="2"/>
      <c r="E89" s="2"/>
      <c r="F89" s="2"/>
      <c r="G89" s="2"/>
      <c r="H89" s="1"/>
      <c r="I89" s="1"/>
      <c r="J89" s="1"/>
      <c r="K89" s="1"/>
    </row>
    <row r="90" spans="1:11" ht="15.75" customHeight="1">
      <c r="A90" s="1"/>
      <c r="B90" s="1"/>
      <c r="C90" s="2"/>
      <c r="D90" s="2"/>
      <c r="E90" s="2"/>
      <c r="F90" s="2"/>
      <c r="G90" s="2"/>
      <c r="H90" s="1"/>
      <c r="I90" s="1"/>
      <c r="J90" s="1"/>
      <c r="K90" s="1"/>
    </row>
    <row r="91" spans="1:11" ht="15.75" customHeight="1">
      <c r="A91" s="1"/>
      <c r="B91" s="1"/>
      <c r="C91" s="2"/>
      <c r="D91" s="2"/>
      <c r="E91" s="2"/>
      <c r="F91" s="2"/>
      <c r="G91" s="2"/>
      <c r="H91" s="1"/>
      <c r="I91" s="1"/>
      <c r="J91" s="1"/>
      <c r="K91" s="1"/>
    </row>
    <row r="92" spans="1:11" ht="15.75" customHeight="1">
      <c r="A92" s="1"/>
      <c r="B92" s="1"/>
      <c r="C92" s="2"/>
      <c r="D92" s="2"/>
      <c r="E92" s="2"/>
      <c r="F92" s="2"/>
      <c r="G92" s="2"/>
      <c r="H92" s="1"/>
      <c r="I92" s="1"/>
      <c r="J92" s="1"/>
      <c r="K92" s="1"/>
    </row>
    <row r="93" spans="1:11" ht="15.75" customHeight="1">
      <c r="A93" s="1"/>
      <c r="B93" s="1"/>
      <c r="C93" s="2"/>
      <c r="D93" s="2"/>
      <c r="E93" s="2"/>
      <c r="F93" s="2"/>
      <c r="G93" s="2"/>
      <c r="H93" s="1"/>
      <c r="I93" s="1"/>
      <c r="J93" s="1"/>
      <c r="K93" s="1"/>
    </row>
    <row r="94" spans="1:11" ht="15.75" customHeight="1">
      <c r="A94" s="1"/>
      <c r="B94" s="1"/>
      <c r="C94" s="2"/>
      <c r="D94" s="2"/>
      <c r="E94" s="2"/>
      <c r="F94" s="2"/>
      <c r="G94" s="2"/>
      <c r="H94" s="1"/>
      <c r="I94" s="1"/>
      <c r="J94" s="1"/>
      <c r="K94" s="1"/>
    </row>
    <row r="95" spans="1:11" ht="15.75" customHeight="1">
      <c r="A95" s="1"/>
      <c r="B95" s="1"/>
      <c r="C95" s="2"/>
      <c r="D95" s="2"/>
      <c r="E95" s="2"/>
      <c r="F95" s="2"/>
      <c r="G95" s="2"/>
      <c r="H95" s="1"/>
      <c r="I95" s="1"/>
      <c r="J95" s="1"/>
      <c r="K95" s="1"/>
    </row>
    <row r="96" spans="1:11" ht="15.75" customHeight="1">
      <c r="A96" s="1"/>
      <c r="B96" s="1"/>
      <c r="C96" s="2"/>
      <c r="D96" s="2"/>
      <c r="E96" s="2"/>
      <c r="F96" s="2"/>
      <c r="G96" s="2"/>
      <c r="H96" s="1"/>
      <c r="I96" s="1"/>
      <c r="J96" s="1"/>
      <c r="K96" s="1"/>
    </row>
    <row r="97" spans="1:11" ht="15.75" customHeight="1">
      <c r="A97" s="1"/>
      <c r="B97" s="1"/>
      <c r="C97" s="2"/>
      <c r="D97" s="2"/>
      <c r="E97" s="2"/>
      <c r="F97" s="2"/>
      <c r="G97" s="2"/>
      <c r="H97" s="1"/>
      <c r="I97" s="1"/>
      <c r="J97" s="1"/>
      <c r="K97" s="1"/>
    </row>
    <row r="98" spans="1:11" ht="15.75" customHeight="1">
      <c r="A98" s="1"/>
      <c r="B98" s="1"/>
      <c r="C98" s="2"/>
      <c r="D98" s="2"/>
      <c r="E98" s="2"/>
      <c r="F98" s="2"/>
      <c r="G98" s="2"/>
      <c r="H98" s="1"/>
      <c r="I98" s="1"/>
      <c r="J98" s="1"/>
      <c r="K98" s="1"/>
    </row>
    <row r="99" spans="1:11" ht="15.75" customHeight="1">
      <c r="A99" s="1"/>
      <c r="B99" s="1"/>
      <c r="C99" s="2"/>
      <c r="D99" s="2"/>
      <c r="E99" s="2"/>
      <c r="F99" s="2"/>
      <c r="G99" s="2"/>
      <c r="H99" s="1"/>
      <c r="I99" s="1"/>
      <c r="J99" s="1"/>
      <c r="K99" s="1"/>
    </row>
    <row r="100" spans="1:11" ht="15.75" customHeight="1">
      <c r="A100" s="1"/>
      <c r="B100" s="1"/>
      <c r="C100" s="2"/>
      <c r="D100" s="2"/>
      <c r="E100" s="2"/>
      <c r="F100" s="2"/>
      <c r="G100" s="2"/>
      <c r="H100" s="1"/>
      <c r="I100" s="1"/>
      <c r="J100" s="1"/>
      <c r="K100" s="1"/>
    </row>
    <row r="101" spans="1:11" ht="15.75" customHeight="1">
      <c r="A101" s="1"/>
      <c r="B101" s="1"/>
      <c r="C101" s="2"/>
      <c r="D101" s="2"/>
      <c r="E101" s="2"/>
      <c r="F101" s="2"/>
      <c r="G101" s="2"/>
      <c r="H101" s="1"/>
      <c r="I101" s="1"/>
      <c r="J101" s="1"/>
      <c r="K101" s="1"/>
    </row>
    <row r="102" spans="1:11" ht="15.75" customHeight="1">
      <c r="A102" s="1"/>
      <c r="B102" s="1"/>
      <c r="C102" s="2"/>
      <c r="D102" s="2"/>
      <c r="E102" s="2"/>
      <c r="F102" s="2"/>
      <c r="G102" s="2"/>
      <c r="H102" s="1"/>
      <c r="I102" s="1"/>
      <c r="J102" s="1"/>
      <c r="K102" s="1"/>
    </row>
    <row r="103" spans="1:11" ht="15.75" customHeight="1">
      <c r="A103" s="1"/>
      <c r="B103" s="1"/>
      <c r="C103" s="2"/>
      <c r="D103" s="2"/>
      <c r="E103" s="2"/>
      <c r="F103" s="2"/>
      <c r="G103" s="2"/>
      <c r="H103" s="1"/>
      <c r="I103" s="1"/>
      <c r="J103" s="1"/>
      <c r="K103" s="1"/>
    </row>
    <row r="104" spans="1:11" ht="15.75" customHeight="1">
      <c r="A104" s="1"/>
      <c r="B104" s="1"/>
      <c r="C104" s="2"/>
      <c r="D104" s="2"/>
      <c r="E104" s="2"/>
      <c r="F104" s="2"/>
      <c r="G104" s="2"/>
      <c r="H104" s="1"/>
      <c r="I104" s="1"/>
      <c r="J104" s="1"/>
      <c r="K104" s="1"/>
    </row>
    <row r="105" spans="1:11" ht="15.75" customHeight="1">
      <c r="A105" s="1"/>
      <c r="B105" s="1"/>
      <c r="C105" s="2"/>
      <c r="D105" s="2"/>
      <c r="E105" s="2"/>
      <c r="F105" s="2"/>
      <c r="G105" s="2"/>
      <c r="H105" s="1"/>
      <c r="I105" s="1"/>
      <c r="J105" s="1"/>
      <c r="K105" s="1"/>
    </row>
    <row r="106" spans="1:11" ht="15.75" customHeight="1">
      <c r="A106" s="1"/>
      <c r="B106" s="1"/>
      <c r="C106" s="2"/>
      <c r="D106" s="2"/>
      <c r="E106" s="2"/>
      <c r="F106" s="2"/>
      <c r="G106" s="2"/>
      <c r="H106" s="1"/>
      <c r="I106" s="1"/>
      <c r="J106" s="1"/>
      <c r="K106" s="1"/>
    </row>
    <row r="107" spans="1:11" ht="15.75" customHeight="1">
      <c r="A107" s="1"/>
      <c r="B107" s="1"/>
      <c r="C107" s="2"/>
      <c r="D107" s="2"/>
      <c r="E107" s="2"/>
      <c r="F107" s="2"/>
      <c r="G107" s="2"/>
      <c r="H107" s="1"/>
      <c r="I107" s="1"/>
      <c r="J107" s="1"/>
      <c r="K107" s="1"/>
    </row>
    <row r="108" spans="1:11" ht="15.75" customHeight="1">
      <c r="A108" s="1"/>
      <c r="B108" s="1"/>
      <c r="C108" s="2"/>
      <c r="D108" s="2"/>
      <c r="E108" s="2"/>
      <c r="F108" s="2"/>
      <c r="G108" s="2"/>
      <c r="H108" s="1"/>
      <c r="I108" s="1"/>
      <c r="J108" s="1"/>
      <c r="K108" s="1"/>
    </row>
    <row r="109" spans="1:11" ht="15.75" customHeight="1">
      <c r="A109" s="1"/>
      <c r="B109" s="1"/>
      <c r="C109" s="2"/>
      <c r="D109" s="2"/>
      <c r="E109" s="2"/>
      <c r="F109" s="2"/>
      <c r="G109" s="2"/>
      <c r="H109" s="1"/>
      <c r="I109" s="1"/>
      <c r="J109" s="1"/>
      <c r="K109" s="1"/>
    </row>
    <row r="110" spans="1:11" ht="15.75" customHeight="1">
      <c r="A110" s="1"/>
      <c r="B110" s="1"/>
      <c r="C110" s="2"/>
      <c r="D110" s="2"/>
      <c r="E110" s="2"/>
      <c r="F110" s="2"/>
      <c r="G110" s="2"/>
      <c r="H110" s="1"/>
      <c r="I110" s="1"/>
      <c r="J110" s="1"/>
      <c r="K110" s="1"/>
    </row>
    <row r="111" spans="1:11" ht="15.75" customHeight="1">
      <c r="A111" s="1"/>
      <c r="B111" s="1"/>
      <c r="C111" s="2"/>
      <c r="D111" s="2"/>
      <c r="E111" s="2"/>
      <c r="F111" s="2"/>
      <c r="G111" s="2"/>
      <c r="H111" s="1"/>
      <c r="I111" s="1"/>
      <c r="J111" s="1"/>
      <c r="K111" s="1"/>
    </row>
    <row r="112" spans="1:11" ht="15.75" customHeight="1">
      <c r="A112" s="1"/>
      <c r="B112" s="1"/>
      <c r="C112" s="2"/>
      <c r="D112" s="2"/>
      <c r="E112" s="2"/>
      <c r="F112" s="2"/>
      <c r="G112" s="2"/>
      <c r="H112" s="1"/>
      <c r="I112" s="1"/>
      <c r="J112" s="1"/>
      <c r="K112" s="1"/>
    </row>
    <row r="113" spans="1:11" ht="15.75" customHeight="1">
      <c r="A113" s="1"/>
      <c r="B113" s="1"/>
      <c r="C113" s="2"/>
      <c r="D113" s="2"/>
      <c r="E113" s="2"/>
      <c r="F113" s="2"/>
      <c r="G113" s="2"/>
      <c r="H113" s="1"/>
      <c r="I113" s="1"/>
      <c r="J113" s="1"/>
      <c r="K113" s="1"/>
    </row>
    <row r="114" spans="1:11" ht="15.75" customHeight="1">
      <c r="A114" s="1"/>
      <c r="B114" s="1"/>
      <c r="C114" s="2"/>
      <c r="D114" s="2"/>
      <c r="E114" s="2"/>
      <c r="F114" s="2"/>
      <c r="G114" s="2"/>
      <c r="H114" s="1"/>
      <c r="I114" s="1"/>
      <c r="J114" s="1"/>
      <c r="K114" s="1"/>
    </row>
    <row r="115" spans="1:11" ht="15.75" customHeight="1">
      <c r="A115" s="1"/>
      <c r="B115" s="1"/>
      <c r="C115" s="2"/>
      <c r="D115" s="2"/>
      <c r="E115" s="2"/>
      <c r="F115" s="2"/>
      <c r="G115" s="2"/>
      <c r="H115" s="1"/>
      <c r="I115" s="1"/>
      <c r="J115" s="1"/>
      <c r="K115" s="1"/>
    </row>
    <row r="116" spans="1:11" ht="15.75" customHeight="1">
      <c r="A116" s="1"/>
      <c r="B116" s="1"/>
      <c r="C116" s="2"/>
      <c r="D116" s="2"/>
      <c r="E116" s="2"/>
      <c r="F116" s="2"/>
      <c r="G116" s="2"/>
      <c r="H116" s="1"/>
      <c r="I116" s="1"/>
      <c r="J116" s="1"/>
      <c r="K116" s="1"/>
    </row>
    <row r="117" spans="1:11" ht="15.75" customHeight="1">
      <c r="A117" s="1"/>
      <c r="B117" s="1"/>
      <c r="C117" s="2"/>
      <c r="D117" s="2"/>
      <c r="E117" s="2"/>
      <c r="F117" s="2"/>
      <c r="G117" s="2"/>
      <c r="H117" s="1"/>
      <c r="I117" s="1"/>
      <c r="J117" s="1"/>
      <c r="K117" s="1"/>
    </row>
    <row r="118" spans="1:11" ht="15.75" customHeight="1">
      <c r="A118" s="1"/>
      <c r="B118" s="1"/>
      <c r="C118" s="2"/>
      <c r="D118" s="2"/>
      <c r="E118" s="2"/>
      <c r="F118" s="2"/>
      <c r="G118" s="2"/>
      <c r="H118" s="1"/>
      <c r="I118" s="1"/>
      <c r="J118" s="1"/>
      <c r="K118" s="1"/>
    </row>
    <row r="119" spans="1:11" ht="15.75" customHeight="1">
      <c r="A119" s="1"/>
      <c r="B119" s="1"/>
      <c r="C119" s="2"/>
      <c r="D119" s="2"/>
      <c r="E119" s="2"/>
      <c r="F119" s="2"/>
      <c r="G119" s="2"/>
      <c r="H119" s="1"/>
      <c r="I119" s="1"/>
      <c r="J119" s="1"/>
      <c r="K119" s="1"/>
    </row>
    <row r="120" spans="1:11" ht="15.75" customHeight="1">
      <c r="A120" s="1"/>
      <c r="B120" s="1"/>
      <c r="C120" s="2"/>
      <c r="D120" s="2"/>
      <c r="E120" s="2"/>
      <c r="F120" s="2"/>
      <c r="G120" s="2"/>
      <c r="H120" s="1"/>
      <c r="I120" s="1"/>
      <c r="J120" s="1"/>
      <c r="K120" s="1"/>
    </row>
    <row r="121" spans="1:11" ht="15.75" customHeight="1">
      <c r="A121" s="1"/>
      <c r="B121" s="1"/>
      <c r="C121" s="2"/>
      <c r="D121" s="2"/>
      <c r="E121" s="2"/>
      <c r="F121" s="2"/>
      <c r="G121" s="2"/>
      <c r="H121" s="1"/>
      <c r="I121" s="1"/>
      <c r="J121" s="1"/>
      <c r="K121" s="1"/>
    </row>
    <row r="122" spans="1:11" ht="15.75" customHeight="1">
      <c r="A122" s="1"/>
      <c r="B122" s="1"/>
      <c r="C122" s="2"/>
      <c r="D122" s="2"/>
      <c r="E122" s="2"/>
      <c r="F122" s="2"/>
      <c r="G122" s="2"/>
      <c r="H122" s="1"/>
      <c r="I122" s="1"/>
      <c r="J122" s="1"/>
      <c r="K122" s="1"/>
    </row>
    <row r="123" spans="1:11" ht="15.75" customHeight="1">
      <c r="A123" s="1"/>
      <c r="B123" s="1"/>
      <c r="C123" s="2"/>
      <c r="D123" s="2"/>
      <c r="E123" s="2"/>
      <c r="F123" s="2"/>
      <c r="G123" s="2"/>
      <c r="H123" s="1"/>
      <c r="I123" s="1"/>
      <c r="J123" s="1"/>
      <c r="K123" s="1"/>
    </row>
    <row r="124" spans="1:11" ht="15.75" customHeight="1">
      <c r="A124" s="1"/>
      <c r="B124" s="1"/>
      <c r="C124" s="2"/>
      <c r="D124" s="2"/>
      <c r="E124" s="2"/>
      <c r="F124" s="2"/>
      <c r="G124" s="2"/>
      <c r="H124" s="1"/>
      <c r="I124" s="1"/>
      <c r="J124" s="1"/>
      <c r="K124" s="1"/>
    </row>
    <row r="125" spans="1:11" ht="15.75" customHeight="1">
      <c r="A125" s="1"/>
      <c r="B125" s="1"/>
      <c r="C125" s="2"/>
      <c r="D125" s="2"/>
      <c r="E125" s="2"/>
      <c r="F125" s="2"/>
      <c r="G125" s="2"/>
      <c r="H125" s="1"/>
      <c r="I125" s="1"/>
      <c r="J125" s="1"/>
      <c r="K125" s="1"/>
    </row>
    <row r="126" spans="1:11" ht="15.75" customHeight="1">
      <c r="A126" s="1"/>
      <c r="B126" s="1"/>
      <c r="C126" s="2"/>
      <c r="D126" s="2"/>
      <c r="E126" s="2"/>
      <c r="F126" s="2"/>
      <c r="G126" s="2"/>
      <c r="H126" s="1"/>
      <c r="I126" s="1"/>
      <c r="J126" s="1"/>
      <c r="K126" s="1"/>
    </row>
    <row r="127" spans="1:11" ht="15.75" customHeight="1">
      <c r="A127" s="1"/>
      <c r="B127" s="1"/>
      <c r="C127" s="2"/>
      <c r="D127" s="2"/>
      <c r="E127" s="2"/>
      <c r="F127" s="2"/>
      <c r="G127" s="2"/>
      <c r="H127" s="1"/>
      <c r="I127" s="1"/>
      <c r="J127" s="1"/>
      <c r="K127" s="1"/>
    </row>
    <row r="128" spans="1:11" ht="15.75" customHeight="1">
      <c r="A128" s="1"/>
      <c r="B128" s="1"/>
      <c r="C128" s="2"/>
      <c r="D128" s="2"/>
      <c r="E128" s="2"/>
      <c r="F128" s="2"/>
      <c r="G128" s="2"/>
      <c r="H128" s="1"/>
      <c r="I128" s="1"/>
      <c r="J128" s="1"/>
      <c r="K128" s="1"/>
    </row>
    <row r="129" spans="1:11" ht="15.75" customHeight="1">
      <c r="A129" s="1"/>
      <c r="B129" s="1"/>
      <c r="C129" s="2"/>
      <c r="D129" s="2"/>
      <c r="E129" s="2"/>
      <c r="F129" s="2"/>
      <c r="G129" s="2"/>
      <c r="H129" s="1"/>
      <c r="I129" s="1"/>
      <c r="J129" s="1"/>
      <c r="K129" s="1"/>
    </row>
    <row r="130" spans="1:11" ht="15.75" customHeight="1">
      <c r="A130" s="1"/>
      <c r="B130" s="1"/>
      <c r="C130" s="2"/>
      <c r="D130" s="2"/>
      <c r="E130" s="2"/>
      <c r="F130" s="2"/>
      <c r="G130" s="2"/>
      <c r="H130" s="1"/>
      <c r="I130" s="1"/>
      <c r="J130" s="1"/>
      <c r="K130" s="1"/>
    </row>
    <row r="131" spans="1:11" ht="15.75" customHeight="1">
      <c r="A131" s="1"/>
      <c r="B131" s="1"/>
      <c r="C131" s="2"/>
      <c r="D131" s="2"/>
      <c r="E131" s="2"/>
      <c r="F131" s="2"/>
      <c r="G131" s="2"/>
      <c r="H131" s="1"/>
      <c r="I131" s="1"/>
      <c r="J131" s="1"/>
      <c r="K131" s="1"/>
    </row>
    <row r="132" spans="1:11" ht="15.75" customHeight="1">
      <c r="A132" s="1"/>
      <c r="B132" s="1"/>
      <c r="C132" s="2"/>
      <c r="D132" s="2"/>
      <c r="E132" s="2"/>
      <c r="F132" s="2"/>
      <c r="G132" s="2"/>
      <c r="H132" s="1"/>
      <c r="I132" s="1"/>
      <c r="J132" s="1"/>
      <c r="K132" s="1"/>
    </row>
    <row r="133" spans="1:11" ht="15.75" customHeight="1">
      <c r="A133" s="1"/>
      <c r="B133" s="1"/>
      <c r="C133" s="2"/>
      <c r="D133" s="2"/>
      <c r="E133" s="2"/>
      <c r="F133" s="2"/>
      <c r="G133" s="2"/>
      <c r="H133" s="1"/>
      <c r="I133" s="1"/>
      <c r="J133" s="1"/>
      <c r="K133" s="1"/>
    </row>
    <row r="134" spans="1:11" ht="15.75" customHeight="1">
      <c r="A134" s="1"/>
      <c r="B134" s="1"/>
      <c r="C134" s="2"/>
      <c r="D134" s="2"/>
      <c r="E134" s="2"/>
      <c r="F134" s="2"/>
      <c r="G134" s="2"/>
      <c r="H134" s="1"/>
      <c r="I134" s="1"/>
      <c r="J134" s="1"/>
      <c r="K134" s="1"/>
    </row>
    <row r="135" spans="1:11" ht="15.75" customHeight="1">
      <c r="A135" s="1"/>
      <c r="B135" s="1"/>
      <c r="C135" s="2"/>
      <c r="D135" s="2"/>
      <c r="E135" s="2"/>
      <c r="F135" s="2"/>
      <c r="G135" s="2"/>
      <c r="H135" s="1"/>
      <c r="I135" s="1"/>
      <c r="J135" s="1"/>
      <c r="K135" s="1"/>
    </row>
    <row r="136" spans="1:11" ht="15.75" customHeight="1">
      <c r="A136" s="1"/>
      <c r="B136" s="1"/>
      <c r="C136" s="2"/>
      <c r="D136" s="2"/>
      <c r="E136" s="2"/>
      <c r="F136" s="2"/>
      <c r="G136" s="2"/>
      <c r="H136" s="1"/>
      <c r="I136" s="1"/>
      <c r="J136" s="1"/>
      <c r="K136" s="1"/>
    </row>
    <row r="137" spans="1:11" ht="15.75" customHeight="1">
      <c r="A137" s="1"/>
      <c r="B137" s="1"/>
      <c r="C137" s="2"/>
      <c r="D137" s="2"/>
      <c r="E137" s="2"/>
      <c r="F137" s="2"/>
      <c r="G137" s="2"/>
      <c r="H137" s="1"/>
      <c r="I137" s="1"/>
      <c r="J137" s="1"/>
      <c r="K137" s="1"/>
    </row>
    <row r="138" spans="1:11" ht="15.75" customHeight="1">
      <c r="A138" s="1"/>
      <c r="B138" s="1"/>
      <c r="C138" s="2"/>
      <c r="D138" s="2"/>
      <c r="E138" s="2"/>
      <c r="F138" s="2"/>
      <c r="G138" s="2"/>
      <c r="H138" s="1"/>
      <c r="I138" s="1"/>
      <c r="J138" s="1"/>
      <c r="K138" s="1"/>
    </row>
    <row r="139" spans="1:11" ht="15.75" customHeight="1">
      <c r="A139" s="1"/>
      <c r="B139" s="1"/>
      <c r="C139" s="2"/>
      <c r="D139" s="2"/>
      <c r="E139" s="2"/>
      <c r="F139" s="2"/>
      <c r="G139" s="2"/>
      <c r="H139" s="1"/>
      <c r="I139" s="1"/>
      <c r="J139" s="1"/>
      <c r="K139" s="1"/>
    </row>
    <row r="140" spans="1:11" ht="15.75" customHeight="1">
      <c r="A140" s="1"/>
      <c r="B140" s="1"/>
      <c r="C140" s="2"/>
      <c r="D140" s="2"/>
      <c r="E140" s="2"/>
      <c r="F140" s="2"/>
      <c r="G140" s="2"/>
      <c r="H140" s="1"/>
      <c r="I140" s="1"/>
      <c r="J140" s="1"/>
      <c r="K140" s="1"/>
    </row>
    <row r="141" spans="1:11" ht="15.75" customHeight="1">
      <c r="A141" s="1"/>
      <c r="B141" s="1"/>
      <c r="C141" s="2"/>
      <c r="D141" s="2"/>
      <c r="E141" s="2"/>
      <c r="F141" s="2"/>
      <c r="G141" s="2"/>
      <c r="H141" s="1"/>
      <c r="I141" s="1"/>
      <c r="J141" s="1"/>
      <c r="K141" s="1"/>
    </row>
    <row r="142" spans="1:11" ht="15.75" customHeight="1">
      <c r="A142" s="1"/>
      <c r="B142" s="1"/>
      <c r="C142" s="2"/>
      <c r="D142" s="2"/>
      <c r="E142" s="2"/>
      <c r="F142" s="2"/>
      <c r="G142" s="2"/>
      <c r="H142" s="1"/>
      <c r="I142" s="1"/>
      <c r="J142" s="1"/>
      <c r="K142" s="1"/>
    </row>
    <row r="143" spans="1:11" ht="15.75" customHeight="1">
      <c r="A143" s="1"/>
      <c r="B143" s="1"/>
      <c r="C143" s="2"/>
      <c r="D143" s="2"/>
      <c r="E143" s="2"/>
      <c r="F143" s="2"/>
      <c r="G143" s="2"/>
      <c r="H143" s="1"/>
      <c r="I143" s="1"/>
      <c r="J143" s="1"/>
      <c r="K143" s="1"/>
    </row>
    <row r="144" spans="1:11" ht="15.75" customHeight="1">
      <c r="A144" s="1"/>
      <c r="B144" s="1"/>
      <c r="C144" s="2"/>
      <c r="D144" s="2"/>
      <c r="E144" s="2"/>
      <c r="F144" s="2"/>
      <c r="G144" s="2"/>
      <c r="H144" s="1"/>
      <c r="I144" s="1"/>
      <c r="J144" s="1"/>
      <c r="K144" s="1"/>
    </row>
    <row r="145" spans="1:11" ht="15.75" customHeight="1">
      <c r="A145" s="1"/>
      <c r="B145" s="1"/>
      <c r="C145" s="2"/>
      <c r="D145" s="2"/>
      <c r="E145" s="2"/>
      <c r="F145" s="2"/>
      <c r="G145" s="2"/>
      <c r="H145" s="1"/>
      <c r="I145" s="1"/>
      <c r="J145" s="1"/>
      <c r="K145" s="1"/>
    </row>
    <row r="146" spans="1:11" ht="15.75" customHeight="1">
      <c r="A146" s="1"/>
      <c r="B146" s="1"/>
      <c r="C146" s="2"/>
      <c r="D146" s="2"/>
      <c r="E146" s="2"/>
      <c r="F146" s="2"/>
      <c r="G146" s="2"/>
      <c r="H146" s="1"/>
      <c r="I146" s="1"/>
      <c r="J146" s="1"/>
      <c r="K146" s="1"/>
    </row>
    <row r="147" spans="1:11" ht="15.75" customHeight="1">
      <c r="A147" s="1"/>
      <c r="B147" s="1"/>
      <c r="C147" s="2"/>
      <c r="D147" s="2"/>
      <c r="E147" s="2"/>
      <c r="F147" s="2"/>
      <c r="G147" s="2"/>
      <c r="H147" s="1"/>
      <c r="I147" s="1"/>
      <c r="J147" s="1"/>
      <c r="K147" s="1"/>
    </row>
    <row r="148" spans="1:11" ht="15.75" customHeight="1">
      <c r="A148" s="1"/>
      <c r="B148" s="1"/>
      <c r="C148" s="2"/>
      <c r="D148" s="2"/>
      <c r="E148" s="2"/>
      <c r="F148" s="2"/>
      <c r="G148" s="2"/>
      <c r="H148" s="1"/>
      <c r="I148" s="1"/>
      <c r="J148" s="1"/>
      <c r="K148" s="1"/>
    </row>
    <row r="149" spans="1:11" ht="15.75" customHeight="1">
      <c r="A149" s="1"/>
      <c r="B149" s="1"/>
      <c r="C149" s="2"/>
      <c r="D149" s="2"/>
      <c r="E149" s="2"/>
      <c r="F149" s="2"/>
      <c r="G149" s="2"/>
      <c r="H149" s="1"/>
      <c r="I149" s="1"/>
      <c r="J149" s="1"/>
      <c r="K149" s="1"/>
    </row>
    <row r="150" spans="1:11" ht="15.75" customHeight="1">
      <c r="A150" s="1"/>
      <c r="B150" s="1"/>
      <c r="C150" s="2"/>
      <c r="D150" s="2"/>
      <c r="E150" s="2"/>
      <c r="F150" s="2"/>
      <c r="G150" s="2"/>
      <c r="H150" s="1"/>
      <c r="I150" s="1"/>
      <c r="J150" s="1"/>
      <c r="K150" s="1"/>
    </row>
    <row r="151" spans="1:11" ht="15.75" customHeight="1">
      <c r="A151" s="1"/>
      <c r="B151" s="1"/>
      <c r="C151" s="2"/>
      <c r="D151" s="2"/>
      <c r="E151" s="2"/>
      <c r="F151" s="2"/>
      <c r="G151" s="2"/>
      <c r="H151" s="1"/>
      <c r="I151" s="1"/>
      <c r="J151" s="1"/>
      <c r="K151" s="1"/>
    </row>
    <row r="152" spans="1:11" ht="15.75" customHeight="1">
      <c r="A152" s="1"/>
      <c r="B152" s="1"/>
      <c r="C152" s="2"/>
      <c r="D152" s="2"/>
      <c r="E152" s="2"/>
      <c r="F152" s="2"/>
      <c r="G152" s="2"/>
      <c r="H152" s="1"/>
      <c r="I152" s="1"/>
      <c r="J152" s="1"/>
      <c r="K152" s="1"/>
    </row>
    <row r="153" spans="1:11" ht="15.75" customHeight="1">
      <c r="A153" s="1"/>
      <c r="B153" s="1"/>
      <c r="C153" s="2"/>
      <c r="D153" s="2"/>
      <c r="E153" s="2"/>
      <c r="F153" s="2"/>
      <c r="G153" s="2"/>
      <c r="H153" s="1"/>
      <c r="I153" s="1"/>
      <c r="J153" s="1"/>
      <c r="K153" s="1"/>
    </row>
    <row r="154" spans="1:11" ht="15.75" customHeight="1">
      <c r="A154" s="1"/>
      <c r="B154" s="1"/>
      <c r="C154" s="2"/>
      <c r="D154" s="2"/>
      <c r="E154" s="2"/>
      <c r="F154" s="2"/>
      <c r="G154" s="2"/>
      <c r="H154" s="1"/>
      <c r="I154" s="1"/>
      <c r="J154" s="1"/>
      <c r="K154" s="1"/>
    </row>
    <row r="155" spans="1:11" ht="15.75" customHeight="1">
      <c r="A155" s="1"/>
      <c r="B155" s="1"/>
      <c r="C155" s="2"/>
      <c r="D155" s="2"/>
      <c r="E155" s="2"/>
      <c r="F155" s="2"/>
      <c r="G155" s="2"/>
      <c r="H155" s="1"/>
      <c r="I155" s="1"/>
      <c r="J155" s="1"/>
      <c r="K155" s="1"/>
    </row>
    <row r="156" spans="1:11" ht="15.75" customHeight="1">
      <c r="A156" s="1"/>
      <c r="B156" s="1"/>
      <c r="C156" s="2"/>
      <c r="D156" s="2"/>
      <c r="E156" s="2"/>
      <c r="F156" s="2"/>
      <c r="G156" s="2"/>
      <c r="H156" s="1"/>
      <c r="I156" s="1"/>
      <c r="J156" s="1"/>
      <c r="K156" s="1"/>
    </row>
    <row r="157" spans="1:11" ht="15.75" customHeight="1">
      <c r="A157" s="1"/>
      <c r="B157" s="1"/>
      <c r="C157" s="2"/>
      <c r="D157" s="2"/>
      <c r="E157" s="2"/>
      <c r="F157" s="2"/>
      <c r="G157" s="2"/>
      <c r="H157" s="1"/>
      <c r="I157" s="1"/>
      <c r="J157" s="1"/>
      <c r="K157" s="1"/>
    </row>
    <row r="158" spans="1:11" ht="15.75" customHeight="1">
      <c r="A158" s="1"/>
      <c r="B158" s="1"/>
      <c r="C158" s="2"/>
      <c r="D158" s="2"/>
      <c r="E158" s="2"/>
      <c r="F158" s="2"/>
      <c r="G158" s="2"/>
      <c r="H158" s="1"/>
      <c r="I158" s="1"/>
      <c r="J158" s="1"/>
      <c r="K158" s="1"/>
    </row>
    <row r="159" spans="1:11" ht="15.75" customHeight="1">
      <c r="A159" s="1"/>
      <c r="B159" s="1"/>
      <c r="C159" s="2"/>
      <c r="D159" s="2"/>
      <c r="E159" s="2"/>
      <c r="F159" s="2"/>
      <c r="G159" s="2"/>
      <c r="H159" s="1"/>
      <c r="I159" s="1"/>
      <c r="J159" s="1"/>
      <c r="K159" s="1"/>
    </row>
    <row r="160" spans="1:11" ht="15.75" customHeight="1">
      <c r="A160" s="1"/>
      <c r="B160" s="1"/>
      <c r="C160" s="2"/>
      <c r="D160" s="2"/>
      <c r="E160" s="2"/>
      <c r="F160" s="2"/>
      <c r="G160" s="2"/>
      <c r="H160" s="1"/>
      <c r="I160" s="1"/>
      <c r="J160" s="1"/>
      <c r="K160" s="1"/>
    </row>
    <row r="161" spans="1:11" ht="15.75" customHeight="1">
      <c r="A161" s="1"/>
      <c r="B161" s="1"/>
      <c r="C161" s="2"/>
      <c r="D161" s="2"/>
      <c r="E161" s="2"/>
      <c r="F161" s="2"/>
      <c r="G161" s="2"/>
      <c r="H161" s="1"/>
      <c r="I161" s="1"/>
      <c r="J161" s="1"/>
      <c r="K161" s="1"/>
    </row>
    <row r="162" spans="1:11" ht="15.75" customHeight="1">
      <c r="A162" s="1"/>
      <c r="B162" s="1"/>
      <c r="C162" s="2"/>
      <c r="D162" s="2"/>
      <c r="E162" s="2"/>
      <c r="F162" s="2"/>
      <c r="G162" s="2"/>
      <c r="H162" s="1"/>
      <c r="I162" s="1"/>
      <c r="J162" s="1"/>
      <c r="K162" s="1"/>
    </row>
    <row r="163" spans="1:11" ht="15.75" customHeight="1">
      <c r="A163" s="1"/>
      <c r="B163" s="1"/>
      <c r="C163" s="2"/>
      <c r="D163" s="2"/>
      <c r="E163" s="2"/>
      <c r="F163" s="2"/>
      <c r="G163" s="2"/>
      <c r="H163" s="1"/>
      <c r="I163" s="1"/>
      <c r="J163" s="1"/>
      <c r="K163" s="1"/>
    </row>
    <row r="164" spans="1:11" ht="15.75" customHeight="1">
      <c r="A164" s="1"/>
      <c r="B164" s="1"/>
      <c r="C164" s="2"/>
      <c r="D164" s="2"/>
      <c r="E164" s="2"/>
      <c r="F164" s="2"/>
      <c r="G164" s="2"/>
      <c r="H164" s="1"/>
      <c r="I164" s="1"/>
      <c r="J164" s="1"/>
      <c r="K164" s="1"/>
    </row>
    <row r="165" spans="1:11" ht="15.75" customHeight="1">
      <c r="A165" s="1"/>
      <c r="B165" s="1"/>
      <c r="C165" s="2"/>
      <c r="D165" s="2"/>
      <c r="E165" s="2"/>
      <c r="F165" s="2"/>
      <c r="G165" s="2"/>
      <c r="H165" s="1"/>
      <c r="I165" s="1"/>
      <c r="J165" s="1"/>
      <c r="K165" s="1"/>
    </row>
    <row r="166" spans="1:11" ht="15.75" customHeight="1">
      <c r="A166" s="1"/>
      <c r="B166" s="1"/>
      <c r="C166" s="2"/>
      <c r="D166" s="2"/>
      <c r="E166" s="2"/>
      <c r="F166" s="2"/>
      <c r="G166" s="2"/>
      <c r="H166" s="1"/>
      <c r="I166" s="1"/>
      <c r="J166" s="1"/>
      <c r="K166" s="1"/>
    </row>
    <row r="167" spans="1:11" ht="15.75" customHeight="1">
      <c r="A167" s="1"/>
      <c r="B167" s="1"/>
      <c r="C167" s="2"/>
      <c r="D167" s="2"/>
      <c r="E167" s="2"/>
      <c r="F167" s="2"/>
      <c r="G167" s="2"/>
      <c r="H167" s="1"/>
      <c r="I167" s="1"/>
      <c r="J167" s="1"/>
      <c r="K167" s="1"/>
    </row>
    <row r="168" spans="1:11" ht="15.75" customHeight="1">
      <c r="A168" s="1"/>
      <c r="B168" s="1"/>
      <c r="C168" s="2"/>
      <c r="D168" s="2"/>
      <c r="E168" s="2"/>
      <c r="F168" s="2"/>
      <c r="G168" s="2"/>
      <c r="H168" s="1"/>
      <c r="I168" s="1"/>
      <c r="J168" s="1"/>
      <c r="K168" s="1"/>
    </row>
    <row r="169" spans="1:11" ht="15.75" customHeight="1">
      <c r="A169" s="1"/>
      <c r="B169" s="1"/>
      <c r="C169" s="2"/>
      <c r="D169" s="2"/>
      <c r="E169" s="2"/>
      <c r="F169" s="2"/>
      <c r="G169" s="2"/>
      <c r="H169" s="1"/>
      <c r="I169" s="1"/>
      <c r="J169" s="1"/>
      <c r="K169" s="1"/>
    </row>
    <row r="170" spans="1:11" ht="15.75" customHeight="1">
      <c r="A170" s="1"/>
      <c r="B170" s="1"/>
      <c r="C170" s="2"/>
      <c r="D170" s="2"/>
      <c r="E170" s="2"/>
      <c r="F170" s="2"/>
      <c r="G170" s="2"/>
      <c r="H170" s="1"/>
      <c r="I170" s="1"/>
      <c r="J170" s="1"/>
      <c r="K170" s="1"/>
    </row>
    <row r="171" spans="1:11" ht="15.75" customHeight="1">
      <c r="A171" s="1"/>
      <c r="B171" s="1"/>
      <c r="C171" s="2"/>
      <c r="D171" s="2"/>
      <c r="E171" s="2"/>
      <c r="F171" s="2"/>
      <c r="G171" s="2"/>
      <c r="H171" s="1"/>
      <c r="I171" s="1"/>
      <c r="J171" s="1"/>
      <c r="K171" s="1"/>
    </row>
    <row r="172" spans="1:11" ht="15.75" customHeight="1">
      <c r="A172" s="1"/>
      <c r="B172" s="1"/>
      <c r="C172" s="2"/>
      <c r="D172" s="2"/>
      <c r="E172" s="2"/>
      <c r="F172" s="2"/>
      <c r="G172" s="2"/>
      <c r="H172" s="1"/>
      <c r="I172" s="1"/>
      <c r="J172" s="1"/>
      <c r="K172" s="1"/>
    </row>
    <row r="173" spans="1:11" ht="15.75" customHeight="1">
      <c r="A173" s="1"/>
      <c r="B173" s="1"/>
      <c r="C173" s="2"/>
      <c r="D173" s="2"/>
      <c r="E173" s="2"/>
      <c r="F173" s="2"/>
      <c r="G173" s="2"/>
      <c r="H173" s="1"/>
      <c r="I173" s="1"/>
      <c r="J173" s="1"/>
      <c r="K173" s="1"/>
    </row>
    <row r="174" spans="1:11" ht="15.75" customHeight="1">
      <c r="A174" s="1"/>
      <c r="B174" s="1"/>
      <c r="C174" s="2"/>
      <c r="D174" s="2"/>
      <c r="E174" s="2"/>
      <c r="F174" s="2"/>
      <c r="G174" s="2"/>
      <c r="H174" s="1"/>
      <c r="I174" s="1"/>
      <c r="J174" s="1"/>
      <c r="K174" s="1"/>
    </row>
    <row r="175" spans="1:11" ht="15.75" customHeight="1">
      <c r="A175" s="1"/>
      <c r="B175" s="1"/>
      <c r="C175" s="2"/>
      <c r="D175" s="2"/>
      <c r="E175" s="2"/>
      <c r="F175" s="2"/>
      <c r="G175" s="2"/>
      <c r="H175" s="1"/>
      <c r="I175" s="1"/>
      <c r="J175" s="1"/>
      <c r="K175" s="1"/>
    </row>
    <row r="176" spans="1:11" ht="15.75" customHeight="1">
      <c r="A176" s="1"/>
      <c r="B176" s="1"/>
      <c r="C176" s="2"/>
      <c r="D176" s="2"/>
      <c r="E176" s="2"/>
      <c r="F176" s="2"/>
      <c r="G176" s="2"/>
      <c r="H176" s="1"/>
      <c r="I176" s="1"/>
      <c r="J176" s="1"/>
      <c r="K176" s="1"/>
    </row>
    <row r="177" spans="1:11" ht="15.75" customHeight="1">
      <c r="A177" s="1"/>
      <c r="B177" s="1"/>
      <c r="C177" s="2"/>
      <c r="D177" s="2"/>
      <c r="E177" s="2"/>
      <c r="F177" s="2"/>
      <c r="G177" s="2"/>
      <c r="H177" s="1"/>
      <c r="I177" s="1"/>
      <c r="J177" s="1"/>
      <c r="K177" s="1"/>
    </row>
    <row r="178" spans="1:11" ht="15.75" customHeight="1">
      <c r="A178" s="1"/>
      <c r="B178" s="1"/>
      <c r="C178" s="2"/>
      <c r="D178" s="2"/>
      <c r="E178" s="2"/>
      <c r="F178" s="2"/>
      <c r="G178" s="2"/>
      <c r="H178" s="1"/>
      <c r="I178" s="1"/>
      <c r="J178" s="1"/>
      <c r="K178" s="1"/>
    </row>
    <row r="179" spans="1:11" ht="15.75" customHeight="1">
      <c r="A179" s="1"/>
      <c r="B179" s="1"/>
      <c r="C179" s="2"/>
      <c r="D179" s="2"/>
      <c r="E179" s="2"/>
      <c r="F179" s="2"/>
      <c r="G179" s="2"/>
      <c r="H179" s="1"/>
      <c r="I179" s="1"/>
      <c r="J179" s="1"/>
      <c r="K179" s="1"/>
    </row>
    <row r="180" spans="1:11" ht="15.75" customHeight="1">
      <c r="A180" s="1"/>
      <c r="B180" s="1"/>
      <c r="C180" s="2"/>
      <c r="D180" s="2"/>
      <c r="E180" s="2"/>
      <c r="F180" s="2"/>
      <c r="G180" s="2"/>
      <c r="H180" s="1"/>
      <c r="I180" s="1"/>
      <c r="J180" s="1"/>
      <c r="K180" s="1"/>
    </row>
    <row r="181" spans="1:11" ht="15.75" customHeight="1">
      <c r="A181" s="1"/>
      <c r="B181" s="1"/>
      <c r="C181" s="2"/>
      <c r="D181" s="2"/>
      <c r="E181" s="2"/>
      <c r="F181" s="2"/>
      <c r="G181" s="2"/>
      <c r="H181" s="1"/>
      <c r="I181" s="1"/>
      <c r="J181" s="1"/>
      <c r="K181" s="1"/>
    </row>
    <row r="182" spans="1:11" ht="15.75" customHeight="1">
      <c r="A182" s="1"/>
      <c r="B182" s="1"/>
      <c r="C182" s="2"/>
      <c r="D182" s="2"/>
      <c r="E182" s="2"/>
      <c r="F182" s="2"/>
      <c r="G182" s="2"/>
      <c r="H182" s="1"/>
      <c r="I182" s="1"/>
      <c r="J182" s="1"/>
      <c r="K182" s="1"/>
    </row>
    <row r="183" spans="1:11" ht="15.75" customHeight="1">
      <c r="A183" s="1"/>
      <c r="B183" s="1"/>
      <c r="C183" s="2"/>
      <c r="D183" s="2"/>
      <c r="E183" s="2"/>
      <c r="F183" s="2"/>
      <c r="G183" s="2"/>
      <c r="H183" s="1"/>
      <c r="I183" s="1"/>
      <c r="J183" s="1"/>
      <c r="K183" s="1"/>
    </row>
    <row r="184" spans="1:11" ht="15.75" customHeight="1">
      <c r="A184" s="1"/>
      <c r="B184" s="1"/>
      <c r="C184" s="2"/>
      <c r="D184" s="2"/>
      <c r="E184" s="2"/>
      <c r="F184" s="2"/>
      <c r="G184" s="2"/>
      <c r="H184" s="1"/>
      <c r="I184" s="1"/>
      <c r="J184" s="1"/>
      <c r="K184" s="1"/>
    </row>
    <row r="185" spans="1:11" ht="15.75" customHeight="1">
      <c r="A185" s="1"/>
      <c r="B185" s="1"/>
      <c r="C185" s="2"/>
      <c r="D185" s="2"/>
      <c r="E185" s="2"/>
      <c r="F185" s="2"/>
      <c r="G185" s="2"/>
      <c r="H185" s="1"/>
      <c r="I185" s="1"/>
      <c r="J185" s="1"/>
      <c r="K185" s="1"/>
    </row>
    <row r="186" spans="1:11" ht="15.75" customHeight="1">
      <c r="A186" s="1"/>
      <c r="B186" s="1"/>
      <c r="C186" s="2"/>
      <c r="D186" s="2"/>
      <c r="E186" s="2"/>
      <c r="F186" s="2"/>
      <c r="G186" s="2"/>
      <c r="H186" s="1"/>
      <c r="I186" s="1"/>
      <c r="J186" s="1"/>
      <c r="K186" s="1"/>
    </row>
    <row r="187" spans="1:11" ht="15.75" customHeight="1">
      <c r="A187" s="1"/>
      <c r="B187" s="1"/>
      <c r="C187" s="2"/>
      <c r="D187" s="2"/>
      <c r="E187" s="2"/>
      <c r="F187" s="2"/>
      <c r="G187" s="2"/>
      <c r="H187" s="1"/>
      <c r="I187" s="1"/>
      <c r="J187" s="1"/>
      <c r="K187" s="1"/>
    </row>
    <row r="188" spans="1:11" ht="15.75" customHeight="1">
      <c r="A188" s="1"/>
      <c r="B188" s="1"/>
      <c r="C188" s="2"/>
      <c r="D188" s="2"/>
      <c r="E188" s="2"/>
      <c r="F188" s="2"/>
      <c r="G188" s="2"/>
      <c r="H188" s="1"/>
      <c r="I188" s="1"/>
      <c r="J188" s="1"/>
      <c r="K188" s="1"/>
    </row>
    <row r="189" spans="1:11" ht="15.75" customHeight="1">
      <c r="A189" s="1"/>
      <c r="B189" s="1"/>
      <c r="C189" s="2"/>
      <c r="D189" s="2"/>
      <c r="E189" s="2"/>
      <c r="F189" s="2"/>
      <c r="G189" s="2"/>
      <c r="H189" s="1"/>
      <c r="I189" s="1"/>
      <c r="J189" s="1"/>
      <c r="K189" s="1"/>
    </row>
    <row r="190" spans="1:11" ht="15.75" customHeight="1">
      <c r="A190" s="1"/>
      <c r="B190" s="1"/>
      <c r="C190" s="2"/>
      <c r="D190" s="2"/>
      <c r="E190" s="2"/>
      <c r="F190" s="2"/>
      <c r="G190" s="2"/>
      <c r="H190" s="1"/>
      <c r="I190" s="1"/>
      <c r="J190" s="1"/>
      <c r="K190" s="1"/>
    </row>
    <row r="191" spans="1:11" ht="15.75" customHeight="1">
      <c r="A191" s="1"/>
      <c r="B191" s="1"/>
      <c r="C191" s="2"/>
      <c r="D191" s="2"/>
      <c r="E191" s="2"/>
      <c r="F191" s="2"/>
      <c r="G191" s="2"/>
      <c r="H191" s="1"/>
      <c r="I191" s="1"/>
      <c r="J191" s="1"/>
      <c r="K191" s="1"/>
    </row>
    <row r="192" spans="1:11" ht="15.75" customHeight="1">
      <c r="A192" s="1"/>
      <c r="B192" s="1"/>
      <c r="C192" s="2"/>
      <c r="D192" s="2"/>
      <c r="E192" s="2"/>
      <c r="F192" s="2"/>
      <c r="G192" s="2"/>
      <c r="H192" s="1"/>
      <c r="I192" s="1"/>
      <c r="J192" s="1"/>
      <c r="K192" s="1"/>
    </row>
    <row r="193" spans="1:11" ht="15.75" customHeight="1">
      <c r="A193" s="1"/>
      <c r="B193" s="1"/>
      <c r="C193" s="2"/>
      <c r="D193" s="2"/>
      <c r="E193" s="2"/>
      <c r="F193" s="2"/>
      <c r="G193" s="2"/>
      <c r="H193" s="1"/>
      <c r="I193" s="1"/>
      <c r="J193" s="1"/>
      <c r="K193" s="1"/>
    </row>
    <row r="194" spans="1:11" ht="15.75" customHeight="1">
      <c r="A194" s="1"/>
      <c r="B194" s="1"/>
      <c r="C194" s="2"/>
      <c r="D194" s="2"/>
      <c r="E194" s="2"/>
      <c r="F194" s="2"/>
      <c r="G194" s="2"/>
      <c r="H194" s="1"/>
      <c r="I194" s="1"/>
      <c r="J194" s="1"/>
      <c r="K194" s="1"/>
    </row>
    <row r="195" spans="1:11" ht="15.75" customHeight="1">
      <c r="A195" s="1"/>
      <c r="B195" s="1"/>
      <c r="C195" s="2"/>
      <c r="D195" s="2"/>
      <c r="E195" s="2"/>
      <c r="F195" s="2"/>
      <c r="G195" s="2"/>
      <c r="H195" s="1"/>
      <c r="I195" s="1"/>
      <c r="J195" s="1"/>
      <c r="K195" s="1"/>
    </row>
    <row r="196" spans="1:11" ht="15.75" customHeight="1">
      <c r="A196" s="1"/>
      <c r="B196" s="1"/>
      <c r="C196" s="2"/>
      <c r="D196" s="2"/>
      <c r="E196" s="2"/>
      <c r="F196" s="2"/>
      <c r="G196" s="2"/>
      <c r="H196" s="1"/>
      <c r="I196" s="1"/>
      <c r="J196" s="1"/>
      <c r="K196" s="1"/>
    </row>
    <row r="197" spans="1:11" ht="15.75" customHeight="1">
      <c r="A197" s="1"/>
      <c r="B197" s="1"/>
      <c r="C197" s="2"/>
      <c r="D197" s="2"/>
      <c r="E197" s="2"/>
      <c r="F197" s="2"/>
      <c r="G197" s="2"/>
      <c r="H197" s="1"/>
      <c r="I197" s="1"/>
      <c r="J197" s="1"/>
      <c r="K197" s="1"/>
    </row>
    <row r="198" spans="1:11" ht="15.75" customHeight="1">
      <c r="A198" s="1"/>
      <c r="B198" s="1"/>
      <c r="C198" s="2"/>
      <c r="D198" s="2"/>
      <c r="E198" s="2"/>
      <c r="F198" s="2"/>
      <c r="G198" s="2"/>
      <c r="H198" s="1"/>
      <c r="I198" s="1"/>
      <c r="J198" s="1"/>
      <c r="K198" s="1"/>
    </row>
    <row r="199" spans="1:11" ht="15.75" customHeight="1">
      <c r="A199" s="1"/>
      <c r="B199" s="1"/>
      <c r="C199" s="2"/>
      <c r="D199" s="2"/>
      <c r="E199" s="2"/>
      <c r="F199" s="2"/>
      <c r="G199" s="2"/>
      <c r="H199" s="1"/>
      <c r="I199" s="1"/>
      <c r="J199" s="1"/>
      <c r="K199" s="1"/>
    </row>
    <row r="200" spans="1:11" ht="15.75" customHeight="1">
      <c r="A200" s="1"/>
      <c r="B200" s="1"/>
      <c r="C200" s="2"/>
      <c r="D200" s="2"/>
      <c r="E200" s="2"/>
      <c r="F200" s="2"/>
      <c r="G200" s="2"/>
      <c r="H200" s="1"/>
      <c r="I200" s="1"/>
      <c r="J200" s="1"/>
      <c r="K200" s="1"/>
    </row>
    <row r="201" spans="1:11" ht="15.75" customHeight="1">
      <c r="A201" s="1"/>
      <c r="B201" s="1"/>
      <c r="C201" s="2"/>
      <c r="D201" s="2"/>
      <c r="E201" s="2"/>
      <c r="F201" s="2"/>
      <c r="G201" s="2"/>
      <c r="H201" s="1"/>
      <c r="I201" s="1"/>
      <c r="J201" s="1"/>
      <c r="K201" s="1"/>
    </row>
    <row r="202" spans="1:11" ht="15.75" customHeight="1">
      <c r="A202" s="1"/>
      <c r="B202" s="1"/>
      <c r="C202" s="2"/>
      <c r="D202" s="2"/>
      <c r="E202" s="2"/>
      <c r="F202" s="2"/>
      <c r="G202" s="2"/>
      <c r="H202" s="1"/>
      <c r="I202" s="1"/>
      <c r="J202" s="1"/>
      <c r="K202" s="1"/>
    </row>
    <row r="203" spans="1:11" ht="15.75" customHeight="1">
      <c r="A203" s="1"/>
      <c r="B203" s="1"/>
      <c r="C203" s="2"/>
      <c r="D203" s="2"/>
      <c r="E203" s="2"/>
      <c r="F203" s="2"/>
      <c r="G203" s="2"/>
      <c r="H203" s="1"/>
      <c r="I203" s="1"/>
      <c r="J203" s="1"/>
      <c r="K203" s="1"/>
    </row>
    <row r="204" spans="1:11" ht="15.75" customHeight="1">
      <c r="A204" s="1"/>
      <c r="B204" s="1"/>
      <c r="C204" s="2"/>
      <c r="D204" s="2"/>
      <c r="E204" s="2"/>
      <c r="F204" s="2"/>
      <c r="G204" s="2"/>
      <c r="H204" s="1"/>
      <c r="I204" s="1"/>
      <c r="J204" s="1"/>
      <c r="K204" s="1"/>
    </row>
    <row r="205" spans="1:11" ht="15.75" customHeight="1">
      <c r="A205" s="1"/>
      <c r="B205" s="1"/>
      <c r="C205" s="2"/>
      <c r="D205" s="2"/>
      <c r="E205" s="2"/>
      <c r="F205" s="2"/>
      <c r="G205" s="2"/>
      <c r="H205" s="1"/>
      <c r="I205" s="1"/>
      <c r="J205" s="1"/>
      <c r="K205" s="1"/>
    </row>
    <row r="206" spans="1:11" ht="15.75" customHeight="1">
      <c r="A206" s="1"/>
      <c r="B206" s="1"/>
      <c r="C206" s="2"/>
      <c r="D206" s="2"/>
      <c r="E206" s="2"/>
      <c r="F206" s="2"/>
      <c r="G206" s="2"/>
      <c r="H206" s="1"/>
      <c r="I206" s="1"/>
      <c r="J206" s="1"/>
      <c r="K206" s="1"/>
    </row>
    <row r="207" spans="1:11" ht="15.75" customHeight="1">
      <c r="A207" s="1"/>
      <c r="B207" s="1"/>
      <c r="C207" s="2"/>
      <c r="D207" s="2"/>
      <c r="E207" s="2"/>
      <c r="F207" s="2"/>
      <c r="G207" s="2"/>
      <c r="H207" s="1"/>
      <c r="I207" s="1"/>
      <c r="J207" s="1"/>
      <c r="K207" s="1"/>
    </row>
    <row r="208" spans="1:11" ht="15.75" customHeight="1">
      <c r="A208" s="1"/>
      <c r="B208" s="1"/>
      <c r="C208" s="2"/>
      <c r="D208" s="2"/>
      <c r="E208" s="2"/>
      <c r="F208" s="2"/>
      <c r="G208" s="2"/>
      <c r="H208" s="1"/>
      <c r="I208" s="1"/>
      <c r="J208" s="1"/>
      <c r="K208" s="1"/>
    </row>
    <row r="209" spans="1:11" ht="15.75" customHeight="1">
      <c r="A209" s="1"/>
      <c r="B209" s="1"/>
      <c r="C209" s="2"/>
      <c r="D209" s="2"/>
      <c r="E209" s="2"/>
      <c r="F209" s="2"/>
      <c r="G209" s="2"/>
      <c r="H209" s="1"/>
      <c r="I209" s="1"/>
      <c r="J209" s="1"/>
      <c r="K209" s="1"/>
    </row>
    <row r="210" spans="1:11" ht="15.75" customHeight="1">
      <c r="A210" s="1"/>
      <c r="B210" s="1"/>
      <c r="C210" s="2"/>
      <c r="D210" s="2"/>
      <c r="E210" s="2"/>
      <c r="F210" s="2"/>
      <c r="G210" s="2"/>
      <c r="H210" s="1"/>
      <c r="I210" s="1"/>
      <c r="J210" s="1"/>
      <c r="K210" s="1"/>
    </row>
    <row r="211" spans="1:11" ht="15.75" customHeight="1">
      <c r="A211" s="1"/>
      <c r="B211" s="1"/>
      <c r="C211" s="2"/>
      <c r="D211" s="2"/>
      <c r="E211" s="2"/>
      <c r="F211" s="2"/>
      <c r="G211" s="2"/>
      <c r="H211" s="1"/>
      <c r="I211" s="1"/>
      <c r="J211" s="1"/>
      <c r="K211" s="1"/>
    </row>
    <row r="212" spans="1:11" ht="15.75" customHeight="1">
      <c r="A212" s="1"/>
      <c r="B212" s="1"/>
      <c r="C212" s="2"/>
      <c r="D212" s="2"/>
      <c r="E212" s="2"/>
      <c r="F212" s="2"/>
      <c r="G212" s="2"/>
      <c r="H212" s="1"/>
      <c r="I212" s="1"/>
      <c r="J212" s="1"/>
      <c r="K212" s="1"/>
    </row>
    <row r="213" spans="1:11" ht="15.75" customHeight="1">
      <c r="A213" s="1"/>
      <c r="B213" s="1"/>
      <c r="C213" s="2"/>
      <c r="D213" s="2"/>
      <c r="E213" s="2"/>
      <c r="F213" s="2"/>
      <c r="G213" s="2"/>
      <c r="H213" s="1"/>
      <c r="I213" s="1"/>
      <c r="J213" s="1"/>
      <c r="K213" s="1"/>
    </row>
    <row r="214" spans="1:11" ht="15.75" customHeight="1">
      <c r="A214" s="1"/>
      <c r="B214" s="1"/>
      <c r="C214" s="2"/>
      <c r="D214" s="2"/>
      <c r="E214" s="2"/>
      <c r="F214" s="2"/>
      <c r="G214" s="2"/>
      <c r="H214" s="1"/>
      <c r="I214" s="1"/>
      <c r="J214" s="1"/>
      <c r="K214" s="1"/>
    </row>
    <row r="215" spans="1:11" ht="15.75" customHeight="1">
      <c r="A215" s="1"/>
      <c r="B215" s="1"/>
      <c r="C215" s="2"/>
      <c r="D215" s="2"/>
      <c r="E215" s="2"/>
      <c r="F215" s="2"/>
      <c r="G215" s="2"/>
      <c r="H215" s="1"/>
      <c r="I215" s="1"/>
      <c r="J215" s="1"/>
      <c r="K215" s="1"/>
    </row>
    <row r="216" spans="1:11" ht="15.75" customHeight="1">
      <c r="A216" s="1"/>
      <c r="B216" s="1"/>
      <c r="C216" s="2"/>
      <c r="D216" s="2"/>
      <c r="E216" s="2"/>
      <c r="F216" s="2"/>
      <c r="G216" s="2"/>
      <c r="H216" s="1"/>
      <c r="I216" s="1"/>
      <c r="J216" s="1"/>
      <c r="K216" s="1"/>
    </row>
    <row r="217" spans="1:11" ht="15.75" customHeight="1">
      <c r="A217" s="1"/>
      <c r="B217" s="1"/>
      <c r="C217" s="2"/>
      <c r="D217" s="2"/>
      <c r="E217" s="2"/>
      <c r="F217" s="2"/>
      <c r="G217" s="2"/>
      <c r="H217" s="1"/>
      <c r="I217" s="1"/>
      <c r="J217" s="1"/>
      <c r="K217" s="1"/>
    </row>
    <row r="218" spans="1:11" ht="15.75" customHeight="1">
      <c r="A218" s="1"/>
      <c r="B218" s="1"/>
      <c r="C218" s="2"/>
      <c r="D218" s="2"/>
      <c r="E218" s="2"/>
      <c r="F218" s="2"/>
      <c r="G218" s="2"/>
      <c r="H218" s="1"/>
      <c r="I218" s="1"/>
      <c r="J218" s="1"/>
      <c r="K218" s="1"/>
    </row>
    <row r="219" spans="1:11" ht="15.75" customHeight="1">
      <c r="A219" s="1"/>
      <c r="B219" s="1"/>
      <c r="C219" s="2"/>
      <c r="D219" s="2"/>
      <c r="E219" s="2"/>
      <c r="F219" s="2"/>
      <c r="G219" s="2"/>
      <c r="H219" s="1"/>
      <c r="I219" s="1"/>
      <c r="J219" s="1"/>
      <c r="K219" s="1"/>
    </row>
    <row r="220" spans="1:11" ht="15.75" customHeight="1">
      <c r="A220" s="1"/>
      <c r="B220" s="1"/>
      <c r="C220" s="2"/>
      <c r="D220" s="2"/>
      <c r="E220" s="2"/>
      <c r="F220" s="2"/>
      <c r="G220" s="2"/>
      <c r="H220" s="1"/>
      <c r="I220" s="1"/>
      <c r="J220" s="1"/>
      <c r="K220" s="1"/>
    </row>
    <row r="221" spans="1:11" ht="15.75" customHeight="1">
      <c r="A221" s="1"/>
      <c r="B221" s="1"/>
      <c r="C221" s="2"/>
      <c r="D221" s="2"/>
      <c r="E221" s="2"/>
      <c r="F221" s="2"/>
      <c r="G221" s="2"/>
      <c r="H221" s="1"/>
      <c r="I221" s="1"/>
      <c r="J221" s="1"/>
      <c r="K221" s="1"/>
    </row>
    <row r="222" spans="1:11" ht="15.75" customHeight="1">
      <c r="A222" s="1"/>
      <c r="B222" s="1"/>
      <c r="C222" s="2"/>
      <c r="D222" s="2"/>
      <c r="E222" s="2"/>
      <c r="F222" s="2"/>
      <c r="G222" s="2"/>
      <c r="H222" s="1"/>
      <c r="I222" s="1"/>
      <c r="J222" s="1"/>
      <c r="K222" s="1"/>
    </row>
    <row r="223" spans="1:11" ht="15.75" customHeight="1">
      <c r="A223" s="1"/>
      <c r="B223" s="1"/>
      <c r="C223" s="2"/>
      <c r="D223" s="2"/>
      <c r="E223" s="2"/>
      <c r="F223" s="2"/>
      <c r="G223" s="2"/>
      <c r="H223" s="1"/>
      <c r="I223" s="1"/>
      <c r="J223" s="1"/>
      <c r="K223" s="1"/>
    </row>
    <row r="224" spans="1:11" ht="15.75" customHeight="1">
      <c r="A224" s="1"/>
      <c r="B224" s="1"/>
      <c r="C224" s="2"/>
      <c r="D224" s="2"/>
      <c r="E224" s="2"/>
      <c r="F224" s="2"/>
      <c r="G224" s="2"/>
      <c r="H224" s="1"/>
      <c r="I224" s="1"/>
      <c r="J224" s="1"/>
      <c r="K224" s="1"/>
    </row>
    <row r="225" spans="1:11" ht="15.75" customHeight="1">
      <c r="A225" s="1"/>
      <c r="B225" s="1"/>
      <c r="C225" s="2"/>
      <c r="D225" s="2"/>
      <c r="E225" s="2"/>
      <c r="F225" s="2"/>
      <c r="G225" s="2"/>
      <c r="H225" s="1"/>
      <c r="I225" s="1"/>
      <c r="J225" s="1"/>
      <c r="K225" s="1"/>
    </row>
    <row r="226" spans="1:11" ht="15.75" customHeight="1">
      <c r="A226" s="1"/>
      <c r="B226" s="1"/>
      <c r="C226" s="2"/>
      <c r="D226" s="2"/>
      <c r="E226" s="2"/>
      <c r="F226" s="2"/>
      <c r="G226" s="2"/>
      <c r="H226" s="1"/>
      <c r="I226" s="1"/>
      <c r="J226" s="1"/>
      <c r="K226" s="1"/>
    </row>
    <row r="227" spans="1:11" ht="15.75" customHeight="1">
      <c r="A227" s="1"/>
      <c r="B227" s="1"/>
      <c r="C227" s="2"/>
      <c r="D227" s="2"/>
      <c r="E227" s="2"/>
      <c r="F227" s="2"/>
      <c r="G227" s="2"/>
      <c r="H227" s="1"/>
      <c r="I227" s="1"/>
      <c r="J227" s="1"/>
      <c r="K227" s="1"/>
    </row>
    <row r="228" spans="1:11" ht="15.75" customHeight="1">
      <c r="A228" s="1"/>
      <c r="B228" s="1"/>
      <c r="C228" s="2"/>
      <c r="D228" s="2"/>
      <c r="E228" s="2"/>
      <c r="F228" s="2"/>
      <c r="G228" s="2"/>
      <c r="H228" s="1"/>
      <c r="I228" s="1"/>
      <c r="J228" s="1"/>
      <c r="K228" s="1"/>
    </row>
    <row r="229" spans="1:11" ht="15.75" customHeight="1">
      <c r="A229" s="1"/>
      <c r="B229" s="1"/>
      <c r="C229" s="2"/>
      <c r="D229" s="2"/>
      <c r="E229" s="2"/>
      <c r="F229" s="2"/>
      <c r="G229" s="2"/>
      <c r="H229" s="1"/>
      <c r="I229" s="1"/>
      <c r="J229" s="1"/>
      <c r="K229" s="1"/>
    </row>
    <row r="230" spans="1:11" ht="15.75" customHeight="1">
      <c r="A230" s="1"/>
      <c r="B230" s="1"/>
      <c r="C230" s="2"/>
      <c r="D230" s="2"/>
      <c r="E230" s="2"/>
      <c r="F230" s="2"/>
      <c r="G230" s="2"/>
      <c r="H230" s="1"/>
      <c r="I230" s="1"/>
      <c r="J230" s="1"/>
      <c r="K230" s="1"/>
    </row>
    <row r="231" spans="1:11" ht="15.75" customHeight="1">
      <c r="A231" s="1"/>
      <c r="B231" s="1"/>
      <c r="C231" s="2"/>
      <c r="D231" s="2"/>
      <c r="E231" s="2"/>
      <c r="F231" s="2"/>
      <c r="G231" s="2"/>
      <c r="H231" s="1"/>
      <c r="I231" s="1"/>
      <c r="J231" s="1"/>
      <c r="K231" s="1"/>
    </row>
    <row r="232" spans="1:11" ht="15.75" customHeight="1">
      <c r="A232" s="1"/>
      <c r="B232" s="1"/>
      <c r="C232" s="2"/>
      <c r="D232" s="2"/>
      <c r="E232" s="2"/>
      <c r="F232" s="2"/>
      <c r="G232" s="2"/>
      <c r="H232" s="1"/>
      <c r="I232" s="1"/>
      <c r="J232" s="1"/>
      <c r="K232" s="1"/>
    </row>
    <row r="233" spans="1:11" ht="15.75" customHeight="1">
      <c r="A233" s="1"/>
      <c r="B233" s="1"/>
      <c r="C233" s="2"/>
      <c r="D233" s="2"/>
      <c r="E233" s="2"/>
      <c r="F233" s="2"/>
      <c r="G233" s="2"/>
      <c r="H233" s="1"/>
      <c r="I233" s="1"/>
      <c r="J233" s="1"/>
      <c r="K233" s="1"/>
    </row>
    <row r="234" spans="1:11" ht="15.75" customHeight="1">
      <c r="A234" s="1"/>
      <c r="B234" s="1"/>
      <c r="C234" s="2"/>
      <c r="D234" s="2"/>
      <c r="E234" s="2"/>
      <c r="F234" s="2"/>
      <c r="G234" s="2"/>
      <c r="H234" s="1"/>
      <c r="I234" s="1"/>
      <c r="J234" s="1"/>
      <c r="K234" s="1"/>
    </row>
    <row r="235" spans="1:11" ht="15.75" customHeight="1">
      <c r="A235" s="1"/>
      <c r="B235" s="1"/>
      <c r="C235" s="2"/>
      <c r="D235" s="2"/>
      <c r="E235" s="2"/>
      <c r="F235" s="2"/>
      <c r="G235" s="2"/>
      <c r="H235" s="1"/>
      <c r="I235" s="1"/>
      <c r="J235" s="1"/>
      <c r="K235" s="1"/>
    </row>
    <row r="236" spans="1:11" ht="15.75" customHeight="1">
      <c r="A236" s="1"/>
      <c r="B236" s="1"/>
      <c r="C236" s="2"/>
      <c r="D236" s="2"/>
      <c r="E236" s="2"/>
      <c r="F236" s="2"/>
      <c r="G236" s="2"/>
      <c r="H236" s="1"/>
      <c r="I236" s="1"/>
      <c r="J236" s="1"/>
      <c r="K236" s="1"/>
    </row>
    <row r="237" spans="1:11" ht="15.75" customHeight="1">
      <c r="A237" s="1"/>
      <c r="B237" s="1"/>
      <c r="C237" s="2"/>
      <c r="D237" s="2"/>
      <c r="E237" s="2"/>
      <c r="F237" s="2"/>
      <c r="G237" s="2"/>
      <c r="H237" s="1"/>
      <c r="I237" s="1"/>
      <c r="J237" s="1"/>
      <c r="K237" s="1"/>
    </row>
    <row r="238" spans="1:11" ht="15.75" customHeight="1">
      <c r="A238" s="1"/>
      <c r="B238" s="1"/>
      <c r="C238" s="2"/>
      <c r="D238" s="2"/>
      <c r="E238" s="2"/>
      <c r="F238" s="2"/>
      <c r="G238" s="2"/>
      <c r="H238" s="1"/>
      <c r="I238" s="1"/>
      <c r="J238" s="1"/>
      <c r="K238" s="1"/>
    </row>
    <row r="239" spans="1:11" ht="15.75" customHeight="1">
      <c r="A239" s="1"/>
      <c r="B239" s="1"/>
      <c r="C239" s="2"/>
      <c r="D239" s="2"/>
      <c r="E239" s="2"/>
      <c r="F239" s="2"/>
      <c r="G239" s="2"/>
      <c r="H239" s="1"/>
      <c r="I239" s="1"/>
      <c r="J239" s="1"/>
      <c r="K239" s="1"/>
    </row>
    <row r="240" spans="1:11" ht="15.75" customHeight="1">
      <c r="A240" s="1"/>
      <c r="B240" s="1"/>
      <c r="C240" s="2"/>
      <c r="D240" s="2"/>
      <c r="E240" s="2"/>
      <c r="F240" s="2"/>
      <c r="G240" s="2"/>
      <c r="H240" s="1"/>
      <c r="I240" s="1"/>
      <c r="J240" s="1"/>
      <c r="K240" s="1"/>
    </row>
    <row r="241" spans="1:11" ht="15.75" customHeight="1">
      <c r="A241" s="1"/>
      <c r="B241" s="1"/>
      <c r="C241" s="2"/>
      <c r="D241" s="2"/>
      <c r="E241" s="2"/>
      <c r="F241" s="2"/>
      <c r="G241" s="2"/>
      <c r="H241" s="1"/>
      <c r="I241" s="1"/>
      <c r="J241" s="1"/>
      <c r="K241" s="1"/>
    </row>
    <row r="242" spans="1:11" ht="15.75" customHeight="1">
      <c r="A242" s="1"/>
      <c r="B242" s="1"/>
      <c r="C242" s="2"/>
      <c r="D242" s="2"/>
      <c r="E242" s="2"/>
      <c r="F242" s="2"/>
      <c r="G242" s="2"/>
      <c r="H242" s="1"/>
      <c r="I242" s="1"/>
      <c r="J242" s="1"/>
      <c r="K242" s="1"/>
    </row>
    <row r="243" spans="1:11" ht="15.75" customHeight="1">
      <c r="A243" s="1"/>
      <c r="B243" s="1"/>
      <c r="C243" s="2"/>
      <c r="D243" s="2"/>
      <c r="E243" s="2"/>
      <c r="F243" s="2"/>
      <c r="G243" s="2"/>
      <c r="H243" s="1"/>
      <c r="I243" s="1"/>
      <c r="J243" s="1"/>
      <c r="K243" s="1"/>
    </row>
    <row r="244" spans="1:11" ht="15.75" customHeight="1">
      <c r="A244" s="1"/>
      <c r="B244" s="1"/>
      <c r="C244" s="2"/>
      <c r="D244" s="2"/>
      <c r="E244" s="2"/>
      <c r="F244" s="2"/>
      <c r="G244" s="2"/>
      <c r="H244" s="1"/>
      <c r="I244" s="1"/>
      <c r="J244" s="1"/>
      <c r="K244" s="1"/>
    </row>
    <row r="245" spans="1:11" ht="15.75" customHeight="1">
      <c r="A245" s="1"/>
      <c r="B245" s="1"/>
      <c r="C245" s="2"/>
      <c r="D245" s="2"/>
      <c r="E245" s="2"/>
      <c r="F245" s="2"/>
      <c r="G245" s="2"/>
      <c r="H245" s="1"/>
      <c r="I245" s="1"/>
      <c r="J245" s="1"/>
      <c r="K245" s="1"/>
    </row>
    <row r="246" spans="1:11" ht="15.75" customHeight="1">
      <c r="A246" s="1"/>
      <c r="B246" s="1"/>
      <c r="C246" s="2"/>
      <c r="D246" s="2"/>
      <c r="E246" s="2"/>
      <c r="F246" s="2"/>
      <c r="G246" s="2"/>
      <c r="H246" s="1"/>
      <c r="I246" s="1"/>
      <c r="J246" s="1"/>
      <c r="K246" s="1"/>
    </row>
    <row r="247" spans="1:11" ht="15.75" customHeight="1">
      <c r="A247" s="1"/>
      <c r="B247" s="1"/>
      <c r="C247" s="2"/>
      <c r="D247" s="2"/>
      <c r="E247" s="2"/>
      <c r="F247" s="2"/>
      <c r="G247" s="2"/>
      <c r="H247" s="1"/>
      <c r="I247" s="1"/>
      <c r="J247" s="1"/>
      <c r="K247" s="1"/>
    </row>
    <row r="248" spans="1:11" ht="15.75" customHeight="1">
      <c r="A248" s="1"/>
      <c r="B248" s="1"/>
      <c r="C248" s="2"/>
      <c r="D248" s="2"/>
      <c r="E248" s="2"/>
      <c r="F248" s="2"/>
      <c r="G248" s="2"/>
      <c r="H248" s="1"/>
      <c r="I248" s="1"/>
      <c r="J248" s="1"/>
      <c r="K248" s="1"/>
    </row>
    <row r="249" spans="1:11" ht="15.75" customHeight="1">
      <c r="A249" s="1"/>
      <c r="B249" s="1"/>
      <c r="C249" s="2"/>
      <c r="D249" s="2"/>
      <c r="E249" s="2"/>
      <c r="F249" s="2"/>
      <c r="G249" s="2"/>
      <c r="H249" s="1"/>
      <c r="I249" s="1"/>
      <c r="J249" s="1"/>
      <c r="K249" s="1"/>
    </row>
    <row r="250" spans="1:11" ht="15.75" customHeight="1">
      <c r="A250" s="1"/>
      <c r="B250" s="1"/>
      <c r="C250" s="2"/>
      <c r="D250" s="2"/>
      <c r="E250" s="2"/>
      <c r="F250" s="2"/>
      <c r="G250" s="2"/>
      <c r="H250" s="1"/>
      <c r="I250" s="1"/>
      <c r="J250" s="1"/>
      <c r="K250" s="1"/>
    </row>
    <row r="251" spans="1:11" ht="15.75" customHeight="1">
      <c r="A251" s="1"/>
      <c r="B251" s="1"/>
      <c r="C251" s="2"/>
      <c r="D251" s="2"/>
      <c r="E251" s="2"/>
      <c r="F251" s="2"/>
      <c r="G251" s="2"/>
      <c r="H251" s="1"/>
      <c r="I251" s="1"/>
      <c r="J251" s="1"/>
      <c r="K251" s="1"/>
    </row>
    <row r="252" spans="1:11" ht="15.75" customHeight="1">
      <c r="A252" s="1"/>
      <c r="B252" s="1"/>
      <c r="C252" s="2"/>
      <c r="D252" s="2"/>
      <c r="E252" s="2"/>
      <c r="F252" s="2"/>
      <c r="G252" s="2"/>
      <c r="H252" s="1"/>
      <c r="I252" s="1"/>
      <c r="J252" s="1"/>
      <c r="K252" s="1"/>
    </row>
    <row r="253" spans="1:11" ht="15.75" customHeight="1">
      <c r="A253" s="1"/>
      <c r="B253" s="1"/>
      <c r="C253" s="2"/>
      <c r="D253" s="2"/>
      <c r="E253" s="2"/>
      <c r="F253" s="2"/>
      <c r="G253" s="2"/>
      <c r="H253" s="1"/>
      <c r="I253" s="1"/>
      <c r="J253" s="1"/>
      <c r="K253" s="1"/>
    </row>
    <row r="254" spans="1:11" ht="15.75" customHeight="1">
      <c r="A254" s="1"/>
      <c r="B254" s="1"/>
      <c r="C254" s="2"/>
      <c r="D254" s="2"/>
      <c r="E254" s="2"/>
      <c r="F254" s="2"/>
      <c r="G254" s="2"/>
      <c r="H254" s="1"/>
      <c r="I254" s="1"/>
      <c r="J254" s="1"/>
      <c r="K254" s="1"/>
    </row>
    <row r="255" spans="1:11" ht="15.75" customHeight="1">
      <c r="A255" s="1"/>
      <c r="B255" s="1"/>
      <c r="C255" s="2"/>
      <c r="D255" s="2"/>
      <c r="E255" s="2"/>
      <c r="F255" s="2"/>
      <c r="G255" s="2"/>
      <c r="H255" s="1"/>
      <c r="I255" s="1"/>
      <c r="J255" s="1"/>
      <c r="K255" s="1"/>
    </row>
    <row r="256" spans="1:11" ht="15.75" customHeight="1">
      <c r="A256" s="1"/>
      <c r="B256" s="1"/>
      <c r="C256" s="2"/>
      <c r="D256" s="2"/>
      <c r="E256" s="2"/>
      <c r="F256" s="2"/>
      <c r="G256" s="2"/>
      <c r="H256" s="1"/>
      <c r="I256" s="1"/>
      <c r="J256" s="1"/>
      <c r="K256" s="1"/>
    </row>
    <row r="257" spans="1:11" ht="15.75" customHeight="1">
      <c r="A257" s="1"/>
      <c r="B257" s="1"/>
      <c r="C257" s="2"/>
      <c r="D257" s="2"/>
      <c r="E257" s="2"/>
      <c r="F257" s="2"/>
      <c r="G257" s="2"/>
      <c r="H257" s="1"/>
      <c r="I257" s="1"/>
      <c r="J257" s="1"/>
      <c r="K257" s="1"/>
    </row>
    <row r="258" spans="1:11" ht="15.75" customHeight="1">
      <c r="A258" s="1"/>
      <c r="B258" s="1"/>
      <c r="C258" s="2"/>
      <c r="D258" s="2"/>
      <c r="E258" s="2"/>
      <c r="F258" s="2"/>
      <c r="G258" s="2"/>
      <c r="H258" s="1"/>
      <c r="I258" s="1"/>
      <c r="J258" s="1"/>
      <c r="K258" s="1"/>
    </row>
    <row r="259" spans="1:11" ht="15.75" customHeight="1">
      <c r="A259" s="1"/>
      <c r="B259" s="1"/>
      <c r="C259" s="2"/>
      <c r="D259" s="2"/>
      <c r="E259" s="2"/>
      <c r="F259" s="2"/>
      <c r="G259" s="2"/>
      <c r="H259" s="1"/>
      <c r="I259" s="1"/>
      <c r="J259" s="1"/>
      <c r="K259" s="1"/>
    </row>
    <row r="260" spans="1:11" ht="15.75" customHeight="1">
      <c r="A260" s="1"/>
      <c r="B260" s="1"/>
      <c r="C260" s="2"/>
      <c r="D260" s="2"/>
      <c r="E260" s="2"/>
      <c r="F260" s="2"/>
      <c r="G260" s="2"/>
      <c r="H260" s="1"/>
      <c r="I260" s="1"/>
      <c r="J260" s="1"/>
      <c r="K260" s="1"/>
    </row>
    <row r="261" spans="1:11" ht="15.75" customHeight="1"/>
    <row r="262" spans="1:11" ht="15.75" customHeight="1"/>
    <row r="263" spans="1:11" ht="15.75" customHeight="1"/>
    <row r="264" spans="1:11" ht="15.75" customHeight="1"/>
    <row r="265" spans="1:11" ht="15.75" customHeight="1"/>
    <row r="266" spans="1:11" ht="15.75" customHeight="1"/>
    <row r="267" spans="1:11" ht="15.75" customHeight="1"/>
    <row r="268" spans="1:11" ht="15.75" customHeight="1"/>
    <row r="269" spans="1:11" ht="15.75" customHeight="1"/>
    <row r="270" spans="1:11" ht="15.75" customHeight="1"/>
    <row r="271" spans="1:11" ht="15.75" customHeight="1"/>
    <row r="272" spans="1:11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6">
    <mergeCell ref="B40:F40"/>
    <mergeCell ref="H41:K41"/>
    <mergeCell ref="H42:K44"/>
    <mergeCell ref="I35:K35"/>
    <mergeCell ref="I36:K36"/>
    <mergeCell ref="I37:K37"/>
    <mergeCell ref="H46:H47"/>
    <mergeCell ref="I38:K38"/>
    <mergeCell ref="I39:K39"/>
    <mergeCell ref="I30:K30"/>
    <mergeCell ref="I31:K31"/>
    <mergeCell ref="I32:K32"/>
    <mergeCell ref="I33:K33"/>
    <mergeCell ref="I34:K34"/>
    <mergeCell ref="I25:K25"/>
    <mergeCell ref="I26:K26"/>
    <mergeCell ref="I27:K27"/>
    <mergeCell ref="I28:K28"/>
    <mergeCell ref="I29:K29"/>
    <mergeCell ref="I20:K20"/>
    <mergeCell ref="I21:K21"/>
    <mergeCell ref="I22:K22"/>
    <mergeCell ref="I23:K23"/>
    <mergeCell ref="I24:K24"/>
    <mergeCell ref="I15:K15"/>
    <mergeCell ref="I16:K16"/>
    <mergeCell ref="I17:K17"/>
    <mergeCell ref="I18:K18"/>
    <mergeCell ref="I19:K19"/>
    <mergeCell ref="I10:K10"/>
    <mergeCell ref="I11:K11"/>
    <mergeCell ref="I12:K12"/>
    <mergeCell ref="I13:K13"/>
    <mergeCell ref="I14:K14"/>
    <mergeCell ref="J59:K59"/>
    <mergeCell ref="B2:D5"/>
    <mergeCell ref="E2:H3"/>
    <mergeCell ref="I2:K3"/>
    <mergeCell ref="E4:H4"/>
    <mergeCell ref="I4:K6"/>
    <mergeCell ref="F5:H5"/>
    <mergeCell ref="F6:H6"/>
    <mergeCell ref="B6:D6"/>
    <mergeCell ref="B7:B8"/>
    <mergeCell ref="C7:D7"/>
    <mergeCell ref="E7:F8"/>
    <mergeCell ref="G7:G8"/>
    <mergeCell ref="H7:H8"/>
    <mergeCell ref="I7:K8"/>
    <mergeCell ref="I9:K9"/>
    <mergeCell ref="C60:D60"/>
    <mergeCell ref="E60:G60"/>
    <mergeCell ref="H60:I60"/>
    <mergeCell ref="J60:K60"/>
    <mergeCell ref="I48:J48"/>
    <mergeCell ref="I49:J49"/>
    <mergeCell ref="I50:J50"/>
    <mergeCell ref="I51:J51"/>
    <mergeCell ref="I52:J52"/>
    <mergeCell ref="C54:D54"/>
    <mergeCell ref="E54:G54"/>
    <mergeCell ref="H54:I54"/>
    <mergeCell ref="J54:K54"/>
    <mergeCell ref="C59:D59"/>
    <mergeCell ref="E59:G59"/>
    <mergeCell ref="H59:I59"/>
  </mergeCells>
  <pageMargins left="0.7" right="0.7" top="0.75" bottom="0.75" header="0" footer="0"/>
  <pageSetup paperSize="9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000"/>
  <sheetViews>
    <sheetView showGridLines="0" workbookViewId="0"/>
  </sheetViews>
  <sheetFormatPr defaultColWidth="14.44140625" defaultRowHeight="15" customHeight="1"/>
  <cols>
    <col min="1" max="1" width="2.21875" customWidth="1"/>
    <col min="2" max="2" width="23.44140625" customWidth="1"/>
    <col min="3" max="3" width="13.44140625" customWidth="1"/>
    <col min="4" max="4" width="12.44140625" customWidth="1"/>
    <col min="5" max="6" width="8.77734375" customWidth="1"/>
    <col min="7" max="7" width="9.77734375" customWidth="1"/>
    <col min="8" max="8" width="35" customWidth="1"/>
    <col min="9" max="9" width="8.77734375" customWidth="1"/>
    <col min="10" max="10" width="18.77734375" customWidth="1"/>
    <col min="11" max="11" width="23.77734375" customWidth="1"/>
    <col min="12" max="26" width="14" customWidth="1"/>
  </cols>
  <sheetData>
    <row r="1" spans="1:11" ht="14.4">
      <c r="A1" s="1"/>
      <c r="B1" s="1"/>
      <c r="C1" s="2"/>
      <c r="D1" s="2"/>
      <c r="E1" s="2"/>
      <c r="F1" s="2"/>
      <c r="G1" s="2"/>
      <c r="H1" s="9"/>
      <c r="I1" s="1"/>
      <c r="J1" s="1"/>
      <c r="K1" s="1"/>
    </row>
    <row r="2" spans="1:11" ht="14.4">
      <c r="A2" s="1"/>
      <c r="B2" s="145"/>
      <c r="C2" s="134"/>
      <c r="D2" s="148"/>
      <c r="E2" s="143" t="s">
        <v>0</v>
      </c>
      <c r="F2" s="134"/>
      <c r="G2" s="134"/>
      <c r="H2" s="148"/>
      <c r="I2" s="143" t="s">
        <v>1</v>
      </c>
      <c r="J2" s="134"/>
      <c r="K2" s="135"/>
    </row>
    <row r="3" spans="1:11" ht="14.4">
      <c r="A3" s="1"/>
      <c r="B3" s="130"/>
      <c r="C3" s="125"/>
      <c r="D3" s="173"/>
      <c r="E3" s="149"/>
      <c r="F3" s="147"/>
      <c r="G3" s="147"/>
      <c r="H3" s="150"/>
      <c r="I3" s="149"/>
      <c r="J3" s="147"/>
      <c r="K3" s="152"/>
    </row>
    <row r="4" spans="1:11" ht="14.4">
      <c r="A4" s="1"/>
      <c r="B4" s="130"/>
      <c r="C4" s="125"/>
      <c r="D4" s="173"/>
      <c r="E4" s="153" t="s">
        <v>46</v>
      </c>
      <c r="F4" s="154"/>
      <c r="G4" s="154"/>
      <c r="H4" s="155"/>
      <c r="I4" s="174" t="s">
        <v>116</v>
      </c>
      <c r="J4" s="157"/>
      <c r="K4" s="158"/>
    </row>
    <row r="5" spans="1:11" ht="14.4">
      <c r="A5" s="1"/>
      <c r="B5" s="146"/>
      <c r="C5" s="147"/>
      <c r="D5" s="150"/>
      <c r="E5" s="6" t="s">
        <v>2</v>
      </c>
      <c r="F5" s="79" t="s">
        <v>48</v>
      </c>
      <c r="G5" s="6"/>
      <c r="H5" s="83"/>
      <c r="I5" s="175"/>
      <c r="J5" s="125"/>
      <c r="K5" s="124"/>
    </row>
    <row r="6" spans="1:11" ht="14.4">
      <c r="A6" s="1"/>
      <c r="B6" s="179" t="s">
        <v>49</v>
      </c>
      <c r="C6" s="177"/>
      <c r="D6" s="178"/>
      <c r="E6" s="54" t="s">
        <v>4</v>
      </c>
      <c r="F6" s="176">
        <v>20230682322</v>
      </c>
      <c r="G6" s="177"/>
      <c r="H6" s="178"/>
      <c r="I6" s="144"/>
      <c r="J6" s="132"/>
      <c r="K6" s="128"/>
    </row>
    <row r="7" spans="1:11" ht="14.4">
      <c r="A7" s="1"/>
      <c r="B7" s="163" t="s">
        <v>5</v>
      </c>
      <c r="C7" s="165" t="s">
        <v>6</v>
      </c>
      <c r="D7" s="166"/>
      <c r="E7" s="145" t="s">
        <v>7</v>
      </c>
      <c r="F7" s="135"/>
      <c r="G7" s="180" t="s">
        <v>8</v>
      </c>
      <c r="H7" s="198" t="s">
        <v>9</v>
      </c>
      <c r="I7" s="151" t="s">
        <v>11</v>
      </c>
      <c r="J7" s="134"/>
      <c r="K7" s="135"/>
    </row>
    <row r="8" spans="1:11" ht="14.4">
      <c r="A8" s="1"/>
      <c r="B8" s="164"/>
      <c r="C8" s="8">
        <v>0.33333333333333331</v>
      </c>
      <c r="D8" s="55">
        <v>0.70833333333333337</v>
      </c>
      <c r="E8" s="131"/>
      <c r="F8" s="128"/>
      <c r="G8" s="132"/>
      <c r="H8" s="182"/>
      <c r="I8" s="132"/>
      <c r="J8" s="132"/>
      <c r="K8" s="128"/>
    </row>
    <row r="9" spans="1:11" ht="14.4">
      <c r="A9" s="1"/>
      <c r="B9" s="92">
        <v>45181</v>
      </c>
      <c r="C9" s="85">
        <v>0.33333333333333331</v>
      </c>
      <c r="D9" s="86">
        <v>0.70833333333333337</v>
      </c>
      <c r="E9" s="81">
        <v>0.33541666666666664</v>
      </c>
      <c r="F9" s="81">
        <v>0.74097222222222225</v>
      </c>
      <c r="G9" s="61">
        <f t="shared" ref="G9:G38" si="0">IF(HOUR(F9-E9)&gt;=8,8,HOUR(F9-E9))</f>
        <v>8</v>
      </c>
      <c r="H9" s="93" t="s">
        <v>114</v>
      </c>
      <c r="I9" s="185" t="s">
        <v>117</v>
      </c>
      <c r="J9" s="154"/>
      <c r="K9" s="184"/>
    </row>
    <row r="10" spans="1:11" ht="14.4">
      <c r="A10" s="82"/>
      <c r="B10" s="92">
        <v>45182</v>
      </c>
      <c r="C10" s="88">
        <v>0.33333333333333331</v>
      </c>
      <c r="D10" s="89">
        <v>0.70833333333333337</v>
      </c>
      <c r="E10" s="81">
        <v>0.3298611111111111</v>
      </c>
      <c r="F10" s="81">
        <v>0.72499999999999998</v>
      </c>
      <c r="G10" s="84">
        <f t="shared" si="0"/>
        <v>8</v>
      </c>
      <c r="H10" s="93" t="s">
        <v>114</v>
      </c>
      <c r="I10" s="185" t="s">
        <v>118</v>
      </c>
      <c r="J10" s="154"/>
      <c r="K10" s="184"/>
    </row>
    <row r="11" spans="1:11" ht="14.4">
      <c r="A11" s="1"/>
      <c r="B11" s="92">
        <v>45183</v>
      </c>
      <c r="C11" s="85">
        <v>0.33333333333333331</v>
      </c>
      <c r="D11" s="86">
        <v>0.70833333333333337</v>
      </c>
      <c r="E11" s="81">
        <v>0.3263888888888889</v>
      </c>
      <c r="F11" s="81">
        <v>0.73819444444444449</v>
      </c>
      <c r="G11" s="87">
        <f t="shared" si="0"/>
        <v>8</v>
      </c>
      <c r="H11" s="93" t="s">
        <v>114</v>
      </c>
      <c r="I11" s="185" t="s">
        <v>119</v>
      </c>
      <c r="J11" s="154"/>
      <c r="K11" s="184"/>
    </row>
    <row r="12" spans="1:11" ht="14.4">
      <c r="A12" s="1"/>
      <c r="B12" s="92">
        <v>45184</v>
      </c>
      <c r="C12" s="88">
        <v>0.33333333333333331</v>
      </c>
      <c r="D12" s="89">
        <v>0.70833333333333337</v>
      </c>
      <c r="E12" s="81">
        <v>0.32708333333333334</v>
      </c>
      <c r="F12" s="81">
        <v>0.72916666666666663</v>
      </c>
      <c r="G12" s="87">
        <f t="shared" si="0"/>
        <v>8</v>
      </c>
      <c r="H12" s="93" t="s">
        <v>114</v>
      </c>
      <c r="I12" s="183" t="s">
        <v>120</v>
      </c>
      <c r="J12" s="154"/>
      <c r="K12" s="184"/>
    </row>
    <row r="13" spans="1:11" ht="21.75" customHeight="1">
      <c r="A13" s="1"/>
      <c r="B13" s="80">
        <v>45185</v>
      </c>
      <c r="C13" s="6" t="s">
        <v>12</v>
      </c>
      <c r="D13" s="5" t="s">
        <v>12</v>
      </c>
      <c r="E13" s="94"/>
      <c r="F13" s="94"/>
      <c r="G13" s="5">
        <f t="shared" si="0"/>
        <v>0</v>
      </c>
      <c r="H13" s="83"/>
      <c r="I13" s="183"/>
      <c r="J13" s="154"/>
      <c r="K13" s="184"/>
    </row>
    <row r="14" spans="1:11" ht="21.75" customHeight="1">
      <c r="A14" s="1"/>
      <c r="B14" s="80">
        <v>45186</v>
      </c>
      <c r="C14" s="85" t="s">
        <v>12</v>
      </c>
      <c r="D14" s="85" t="s">
        <v>12</v>
      </c>
      <c r="E14" s="81"/>
      <c r="F14" s="81"/>
      <c r="G14" s="6">
        <f t="shared" si="0"/>
        <v>0</v>
      </c>
      <c r="H14" s="83"/>
      <c r="I14" s="185"/>
      <c r="J14" s="154"/>
      <c r="K14" s="184"/>
    </row>
    <row r="15" spans="1:11" ht="14.4">
      <c r="A15" s="1"/>
      <c r="B15" s="92">
        <v>45187</v>
      </c>
      <c r="C15" s="85">
        <v>0.33333333333333331</v>
      </c>
      <c r="D15" s="85">
        <v>0.70833333333333337</v>
      </c>
      <c r="E15" s="81">
        <v>0.3298611111111111</v>
      </c>
      <c r="F15" s="81">
        <v>0.72291666666666665</v>
      </c>
      <c r="G15" s="6">
        <f t="shared" si="0"/>
        <v>8</v>
      </c>
      <c r="H15" s="93" t="s">
        <v>51</v>
      </c>
      <c r="I15" s="185" t="s">
        <v>121</v>
      </c>
      <c r="J15" s="154"/>
      <c r="K15" s="184"/>
    </row>
    <row r="16" spans="1:11" ht="20.25" customHeight="1">
      <c r="A16" s="1"/>
      <c r="B16" s="92">
        <v>45188</v>
      </c>
      <c r="C16" s="85">
        <v>0.33333333333333331</v>
      </c>
      <c r="D16" s="85">
        <v>0.70833333333333337</v>
      </c>
      <c r="E16" s="81"/>
      <c r="F16" s="81"/>
      <c r="G16" s="6">
        <f t="shared" si="0"/>
        <v>0</v>
      </c>
      <c r="H16" s="93" t="s">
        <v>122</v>
      </c>
      <c r="I16" s="185" t="s">
        <v>123</v>
      </c>
      <c r="J16" s="154"/>
      <c r="K16" s="184"/>
    </row>
    <row r="17" spans="1:11" ht="14.4">
      <c r="A17" s="1"/>
      <c r="B17" s="92">
        <v>45189</v>
      </c>
      <c r="C17" s="88">
        <v>0.33333333333333331</v>
      </c>
      <c r="D17" s="89">
        <v>0.70833333333333337</v>
      </c>
      <c r="E17" s="81">
        <v>0.33333333333333331</v>
      </c>
      <c r="F17" s="81">
        <v>0.75486111111111109</v>
      </c>
      <c r="G17" s="6">
        <f t="shared" si="0"/>
        <v>8</v>
      </c>
      <c r="H17" s="93" t="s">
        <v>51</v>
      </c>
      <c r="I17" s="199" t="s">
        <v>124</v>
      </c>
      <c r="J17" s="154"/>
      <c r="K17" s="184"/>
    </row>
    <row r="18" spans="1:11" ht="14.4">
      <c r="A18" s="1"/>
      <c r="B18" s="92">
        <v>45190</v>
      </c>
      <c r="C18" s="85">
        <v>0.33333333333333331</v>
      </c>
      <c r="D18" s="85">
        <v>0.70833333333333337</v>
      </c>
      <c r="E18" s="81">
        <v>0.32916666666666666</v>
      </c>
      <c r="F18" s="81">
        <v>0.74444444444444446</v>
      </c>
      <c r="G18" s="6">
        <f t="shared" si="0"/>
        <v>8</v>
      </c>
      <c r="H18" s="93" t="s">
        <v>51</v>
      </c>
      <c r="I18" s="185" t="s">
        <v>121</v>
      </c>
      <c r="J18" s="154"/>
      <c r="K18" s="184"/>
    </row>
    <row r="19" spans="1:11" ht="14.4">
      <c r="A19" s="1"/>
      <c r="B19" s="92">
        <v>45191</v>
      </c>
      <c r="C19" s="88">
        <v>0.33333333333333331</v>
      </c>
      <c r="D19" s="89">
        <v>0.70833333333333337</v>
      </c>
      <c r="E19" s="81">
        <v>0.32847222222222222</v>
      </c>
      <c r="F19" s="81">
        <v>0.74513888888888891</v>
      </c>
      <c r="G19" s="6">
        <f t="shared" si="0"/>
        <v>8</v>
      </c>
      <c r="H19" s="93" t="s">
        <v>51</v>
      </c>
      <c r="I19" s="185" t="s">
        <v>125</v>
      </c>
      <c r="J19" s="154"/>
      <c r="K19" s="184"/>
    </row>
    <row r="20" spans="1:11" ht="21.75" customHeight="1">
      <c r="A20" s="1"/>
      <c r="B20" s="80">
        <v>45192</v>
      </c>
      <c r="C20" s="6" t="s">
        <v>12</v>
      </c>
      <c r="D20" s="5" t="s">
        <v>12</v>
      </c>
      <c r="E20" s="90"/>
      <c r="F20" s="90"/>
      <c r="G20" s="6">
        <f t="shared" si="0"/>
        <v>0</v>
      </c>
      <c r="H20" s="83"/>
      <c r="I20" s="185"/>
      <c r="J20" s="154"/>
      <c r="K20" s="184"/>
    </row>
    <row r="21" spans="1:11" ht="21.75" customHeight="1">
      <c r="A21" s="1"/>
      <c r="B21" s="80">
        <v>45193</v>
      </c>
      <c r="C21" s="6" t="s">
        <v>12</v>
      </c>
      <c r="D21" s="5" t="s">
        <v>12</v>
      </c>
      <c r="E21" s="81"/>
      <c r="F21" s="81"/>
      <c r="G21" s="6">
        <f t="shared" si="0"/>
        <v>0</v>
      </c>
      <c r="H21" s="83"/>
      <c r="I21" s="185"/>
      <c r="J21" s="154"/>
      <c r="K21" s="184"/>
    </row>
    <row r="22" spans="1:11" ht="15.75" customHeight="1">
      <c r="A22" s="1"/>
      <c r="B22" s="92">
        <v>45194</v>
      </c>
      <c r="C22" s="85">
        <v>0.33333333333333331</v>
      </c>
      <c r="D22" s="85">
        <v>0.70833333333333337</v>
      </c>
      <c r="E22" s="81">
        <v>0.3263888888888889</v>
      </c>
      <c r="F22" s="81">
        <v>0.72916666666666663</v>
      </c>
      <c r="G22" s="6">
        <f t="shared" si="0"/>
        <v>8</v>
      </c>
      <c r="H22" s="93" t="s">
        <v>51</v>
      </c>
      <c r="I22" s="185" t="s">
        <v>126</v>
      </c>
      <c r="J22" s="154"/>
      <c r="K22" s="184"/>
    </row>
    <row r="23" spans="1:11" ht="15.75" customHeight="1">
      <c r="A23" s="1"/>
      <c r="B23" s="92">
        <v>45195</v>
      </c>
      <c r="C23" s="85">
        <v>0.33333333333333331</v>
      </c>
      <c r="D23" s="86">
        <v>0.70833333333333337</v>
      </c>
      <c r="E23" s="81">
        <v>0.3215277777777778</v>
      </c>
      <c r="F23" s="81">
        <v>0.71944444444444444</v>
      </c>
      <c r="G23" s="6">
        <f t="shared" si="0"/>
        <v>8</v>
      </c>
      <c r="H23" s="93" t="s">
        <v>51</v>
      </c>
      <c r="I23" s="185" t="s">
        <v>127</v>
      </c>
      <c r="J23" s="154"/>
      <c r="K23" s="184"/>
    </row>
    <row r="24" spans="1:11" ht="15.75" customHeight="1">
      <c r="A24" s="1"/>
      <c r="B24" s="92">
        <v>45196</v>
      </c>
      <c r="C24" s="85">
        <v>0.33333333333333331</v>
      </c>
      <c r="D24" s="86">
        <v>0.70833333333333337</v>
      </c>
      <c r="E24" s="81">
        <v>0.32500000000000001</v>
      </c>
      <c r="F24" s="81">
        <v>0.71875</v>
      </c>
      <c r="G24" s="6">
        <f t="shared" si="0"/>
        <v>8</v>
      </c>
      <c r="H24" s="93" t="s">
        <v>51</v>
      </c>
      <c r="I24" s="185" t="s">
        <v>128</v>
      </c>
      <c r="J24" s="154"/>
      <c r="K24" s="184"/>
    </row>
    <row r="25" spans="1:11" ht="21.75" customHeight="1">
      <c r="A25" s="1"/>
      <c r="B25" s="80">
        <v>45197</v>
      </c>
      <c r="C25" s="6" t="s">
        <v>12</v>
      </c>
      <c r="D25" s="6" t="s">
        <v>12</v>
      </c>
      <c r="E25" s="81"/>
      <c r="F25" s="81"/>
      <c r="G25" s="6">
        <f t="shared" si="0"/>
        <v>0</v>
      </c>
      <c r="H25" s="83"/>
      <c r="I25" s="185"/>
      <c r="J25" s="154"/>
      <c r="K25" s="184"/>
    </row>
    <row r="26" spans="1:11" ht="31.5" customHeight="1">
      <c r="A26" s="1"/>
      <c r="B26" s="92">
        <v>45198</v>
      </c>
      <c r="C26" s="85">
        <v>0.33333333333333331</v>
      </c>
      <c r="D26" s="85">
        <v>0.70833333333333337</v>
      </c>
      <c r="E26" s="81">
        <v>0.33263888888888887</v>
      </c>
      <c r="F26" s="81">
        <v>0.72916666666666663</v>
      </c>
      <c r="G26" s="6">
        <f t="shared" si="0"/>
        <v>8</v>
      </c>
      <c r="H26" s="93" t="s">
        <v>51</v>
      </c>
      <c r="I26" s="185" t="s">
        <v>128</v>
      </c>
      <c r="J26" s="154"/>
      <c r="K26" s="184"/>
    </row>
    <row r="27" spans="1:11" ht="21.75" customHeight="1">
      <c r="A27" s="1"/>
      <c r="B27" s="80">
        <v>45199</v>
      </c>
      <c r="C27" s="6" t="s">
        <v>12</v>
      </c>
      <c r="D27" s="6" t="s">
        <v>12</v>
      </c>
      <c r="E27" s="90"/>
      <c r="F27" s="90"/>
      <c r="G27" s="6">
        <f t="shared" si="0"/>
        <v>0</v>
      </c>
      <c r="H27" s="83"/>
      <c r="I27" s="185"/>
      <c r="J27" s="154"/>
      <c r="K27" s="184"/>
    </row>
    <row r="28" spans="1:11" ht="21.75" customHeight="1">
      <c r="A28" s="1"/>
      <c r="B28" s="80">
        <v>45200</v>
      </c>
      <c r="C28" s="6" t="s">
        <v>12</v>
      </c>
      <c r="D28" s="6" t="s">
        <v>12</v>
      </c>
      <c r="E28" s="81"/>
      <c r="F28" s="81"/>
      <c r="G28" s="6">
        <f t="shared" si="0"/>
        <v>0</v>
      </c>
      <c r="H28" s="83"/>
      <c r="I28" s="185"/>
      <c r="J28" s="154"/>
      <c r="K28" s="184"/>
    </row>
    <row r="29" spans="1:11" ht="29.25" customHeight="1">
      <c r="A29" s="1"/>
      <c r="B29" s="92">
        <v>45201</v>
      </c>
      <c r="C29" s="85">
        <v>0.33333333333333331</v>
      </c>
      <c r="D29" s="85">
        <v>0.70833333333333337</v>
      </c>
      <c r="E29" s="81">
        <v>0.33055555555555555</v>
      </c>
      <c r="F29" s="81">
        <v>0.73750000000000004</v>
      </c>
      <c r="G29" s="6">
        <f t="shared" si="0"/>
        <v>8</v>
      </c>
      <c r="H29" s="93" t="s">
        <v>51</v>
      </c>
      <c r="I29" s="185" t="s">
        <v>128</v>
      </c>
      <c r="J29" s="154"/>
      <c r="K29" s="184"/>
    </row>
    <row r="30" spans="1:11" ht="15.75" customHeight="1">
      <c r="A30" s="1"/>
      <c r="B30" s="92">
        <v>45202</v>
      </c>
      <c r="C30" s="85">
        <v>0.33333333333333331</v>
      </c>
      <c r="D30" s="85">
        <v>0.70833333333333337</v>
      </c>
      <c r="E30" s="81">
        <v>0.32291666666666669</v>
      </c>
      <c r="F30" s="81">
        <v>0.72777777777777775</v>
      </c>
      <c r="G30" s="6">
        <f t="shared" si="0"/>
        <v>8</v>
      </c>
      <c r="H30" s="93" t="s">
        <v>51</v>
      </c>
      <c r="I30" s="185" t="s">
        <v>128</v>
      </c>
      <c r="J30" s="154"/>
      <c r="K30" s="184"/>
    </row>
    <row r="31" spans="1:11" ht="15.75" customHeight="1">
      <c r="A31" s="1"/>
      <c r="B31" s="92">
        <v>45203</v>
      </c>
      <c r="C31" s="85">
        <v>0.33333333333333331</v>
      </c>
      <c r="D31" s="85">
        <v>0.70833333333333337</v>
      </c>
      <c r="E31" s="81">
        <v>0.32847222222222222</v>
      </c>
      <c r="F31" s="81">
        <v>0.74583333333333335</v>
      </c>
      <c r="G31" s="6">
        <f t="shared" si="0"/>
        <v>8</v>
      </c>
      <c r="H31" s="93" t="s">
        <v>51</v>
      </c>
      <c r="I31" s="185" t="s">
        <v>128</v>
      </c>
      <c r="J31" s="154"/>
      <c r="K31" s="184"/>
    </row>
    <row r="32" spans="1:11" ht="15.75" customHeight="1">
      <c r="A32" s="1"/>
      <c r="B32" s="92">
        <v>45204</v>
      </c>
      <c r="C32" s="85">
        <v>0.33333333333333331</v>
      </c>
      <c r="D32" s="85">
        <v>0.70833333333333337</v>
      </c>
      <c r="E32" s="81">
        <v>0.3263888888888889</v>
      </c>
      <c r="F32" s="81">
        <v>0.73333333333333328</v>
      </c>
      <c r="G32" s="6">
        <f t="shared" si="0"/>
        <v>8</v>
      </c>
      <c r="H32" s="93" t="s">
        <v>51</v>
      </c>
      <c r="I32" s="185" t="s">
        <v>128</v>
      </c>
      <c r="J32" s="154"/>
      <c r="K32" s="184"/>
    </row>
    <row r="33" spans="1:11" ht="15.75" customHeight="1">
      <c r="A33" s="1"/>
      <c r="B33" s="92">
        <v>45205</v>
      </c>
      <c r="C33" s="85">
        <v>0.33333333333333331</v>
      </c>
      <c r="D33" s="85">
        <v>0.70833333333333337</v>
      </c>
      <c r="E33" s="81">
        <v>0.32222222222222224</v>
      </c>
      <c r="F33" s="81">
        <v>0.80069444444444449</v>
      </c>
      <c r="G33" s="6">
        <f t="shared" si="0"/>
        <v>8</v>
      </c>
      <c r="H33" s="93" t="s">
        <v>51</v>
      </c>
      <c r="I33" s="185" t="s">
        <v>129</v>
      </c>
      <c r="J33" s="154"/>
      <c r="K33" s="184"/>
    </row>
    <row r="34" spans="1:11" ht="21.75" customHeight="1">
      <c r="A34" s="1"/>
      <c r="B34" s="80">
        <v>45206</v>
      </c>
      <c r="C34" s="6" t="s">
        <v>12</v>
      </c>
      <c r="D34" s="6" t="s">
        <v>12</v>
      </c>
      <c r="E34" s="81"/>
      <c r="F34" s="81"/>
      <c r="G34" s="6">
        <f t="shared" si="0"/>
        <v>0</v>
      </c>
      <c r="H34" s="83"/>
      <c r="I34" s="185"/>
      <c r="J34" s="154"/>
      <c r="K34" s="184"/>
    </row>
    <row r="35" spans="1:11" ht="21.75" customHeight="1">
      <c r="A35" s="1"/>
      <c r="B35" s="80">
        <v>45207</v>
      </c>
      <c r="C35" s="6" t="s">
        <v>12</v>
      </c>
      <c r="D35" s="6" t="s">
        <v>12</v>
      </c>
      <c r="E35" s="81"/>
      <c r="F35" s="81"/>
      <c r="G35" s="6">
        <f t="shared" si="0"/>
        <v>0</v>
      </c>
      <c r="H35" s="83"/>
      <c r="I35" s="185"/>
      <c r="J35" s="154"/>
      <c r="K35" s="184"/>
    </row>
    <row r="36" spans="1:11" ht="21.75" customHeight="1">
      <c r="A36" s="1"/>
      <c r="B36" s="92">
        <v>45208</v>
      </c>
      <c r="C36" s="85">
        <v>0.33333333333333331</v>
      </c>
      <c r="D36" s="85">
        <v>0.70833333333333337</v>
      </c>
      <c r="E36" s="81"/>
      <c r="F36" s="81"/>
      <c r="G36" s="6">
        <f t="shared" si="0"/>
        <v>0</v>
      </c>
      <c r="H36" s="93" t="s">
        <v>115</v>
      </c>
      <c r="I36" s="185" t="s">
        <v>130</v>
      </c>
      <c r="J36" s="154"/>
      <c r="K36" s="184"/>
    </row>
    <row r="37" spans="1:11" ht="15.75" customHeight="1">
      <c r="A37" s="1"/>
      <c r="B37" s="92">
        <v>45209</v>
      </c>
      <c r="C37" s="85">
        <v>0.33333333333333331</v>
      </c>
      <c r="D37" s="85">
        <v>0.70833333333333337</v>
      </c>
      <c r="E37" s="81">
        <v>0.32708333333333334</v>
      </c>
      <c r="F37" s="81">
        <v>0.71944444444444444</v>
      </c>
      <c r="G37" s="6">
        <f t="shared" si="0"/>
        <v>8</v>
      </c>
      <c r="H37" s="93" t="s">
        <v>114</v>
      </c>
      <c r="I37" s="185" t="s">
        <v>131</v>
      </c>
      <c r="J37" s="154"/>
      <c r="K37" s="184"/>
    </row>
    <row r="38" spans="1:11" ht="15.75" customHeight="1">
      <c r="A38" s="1"/>
      <c r="B38" s="92">
        <v>45210</v>
      </c>
      <c r="C38" s="85">
        <v>0.33333333333333331</v>
      </c>
      <c r="D38" s="85">
        <v>0.70833333333333337</v>
      </c>
      <c r="E38" s="81">
        <v>0.32777777777777778</v>
      </c>
      <c r="F38" s="81">
        <v>0.72361111111111109</v>
      </c>
      <c r="G38" s="6">
        <f t="shared" si="0"/>
        <v>8</v>
      </c>
      <c r="H38" s="93" t="s">
        <v>114</v>
      </c>
      <c r="I38" s="185" t="s">
        <v>132</v>
      </c>
      <c r="J38" s="154"/>
      <c r="K38" s="184"/>
    </row>
    <row r="39" spans="1:11" ht="18" customHeight="1">
      <c r="A39" s="1"/>
      <c r="B39" s="192" t="s">
        <v>13</v>
      </c>
      <c r="C39" s="132"/>
      <c r="D39" s="132"/>
      <c r="E39" s="132"/>
      <c r="F39" s="167"/>
      <c r="G39" s="91">
        <f>SUM(G9:G38)</f>
        <v>152</v>
      </c>
      <c r="H39" s="9"/>
      <c r="I39" s="1"/>
      <c r="J39" s="1"/>
      <c r="K39" s="1"/>
    </row>
    <row r="40" spans="1:11" ht="18" customHeight="1">
      <c r="A40" s="1"/>
      <c r="B40" s="21" t="s">
        <v>14</v>
      </c>
      <c r="C40" s="22"/>
      <c r="D40" s="22"/>
      <c r="E40" s="22"/>
      <c r="F40" s="22"/>
      <c r="G40" s="23"/>
      <c r="H40" s="193" t="s">
        <v>15</v>
      </c>
      <c r="I40" s="134"/>
      <c r="J40" s="134"/>
      <c r="K40" s="135"/>
    </row>
    <row r="41" spans="1:11" ht="20.25" customHeight="1">
      <c r="A41" s="1"/>
      <c r="B41" s="24" t="s">
        <v>133</v>
      </c>
      <c r="C41" s="25"/>
      <c r="D41" s="25"/>
      <c r="E41" s="25"/>
      <c r="F41" s="25"/>
      <c r="G41" s="26">
        <v>21</v>
      </c>
      <c r="H41" s="194" t="s">
        <v>17</v>
      </c>
      <c r="I41" s="125"/>
      <c r="J41" s="125"/>
      <c r="K41" s="124"/>
    </row>
    <row r="42" spans="1:11" ht="20.25" customHeight="1">
      <c r="A42" s="1"/>
      <c r="B42" s="24" t="s">
        <v>134</v>
      </c>
      <c r="C42" s="25"/>
      <c r="D42" s="25"/>
      <c r="E42" s="25"/>
      <c r="F42" s="25"/>
      <c r="G42" s="27">
        <v>9</v>
      </c>
      <c r="H42" s="125"/>
      <c r="I42" s="125"/>
      <c r="J42" s="125"/>
      <c r="K42" s="124"/>
    </row>
    <row r="43" spans="1:11" ht="20.25" customHeight="1">
      <c r="A43" s="1"/>
      <c r="B43" s="24" t="s">
        <v>135</v>
      </c>
      <c r="C43" s="25"/>
      <c r="D43" s="25"/>
      <c r="E43" s="25"/>
      <c r="F43" s="25"/>
      <c r="G43" s="27">
        <v>1</v>
      </c>
      <c r="H43" s="132"/>
      <c r="I43" s="132"/>
      <c r="J43" s="132"/>
      <c r="K43" s="128"/>
    </row>
    <row r="44" spans="1:11" ht="20.25" customHeight="1">
      <c r="A44" s="1"/>
      <c r="B44" s="24" t="s">
        <v>136</v>
      </c>
      <c r="C44" s="25"/>
      <c r="D44" s="25"/>
      <c r="E44" s="25"/>
      <c r="F44" s="25"/>
      <c r="G44" s="27" t="s">
        <v>12</v>
      </c>
      <c r="H44" s="95" t="s">
        <v>21</v>
      </c>
      <c r="I44" s="19"/>
      <c r="J44" s="19"/>
      <c r="K44" s="20"/>
    </row>
    <row r="45" spans="1:11" ht="20.25" customHeight="1">
      <c r="A45" s="1"/>
      <c r="B45" s="24" t="s">
        <v>137</v>
      </c>
      <c r="C45" s="25"/>
      <c r="D45" s="25"/>
      <c r="E45" s="25"/>
      <c r="F45" s="25"/>
      <c r="G45" s="27" t="s">
        <v>12</v>
      </c>
      <c r="H45" s="194" t="s">
        <v>23</v>
      </c>
      <c r="I45" s="1"/>
      <c r="J45" s="1"/>
      <c r="K45" s="48"/>
    </row>
    <row r="46" spans="1:11" ht="20.25" customHeight="1">
      <c r="A46" s="1"/>
      <c r="B46" s="24" t="s">
        <v>138</v>
      </c>
      <c r="C46" s="25"/>
      <c r="D46" s="25"/>
      <c r="E46" s="25"/>
      <c r="F46" s="25"/>
      <c r="G46" s="27">
        <v>19</v>
      </c>
      <c r="H46" s="132"/>
      <c r="I46" s="1"/>
      <c r="J46" s="1"/>
      <c r="K46" s="48"/>
    </row>
    <row r="47" spans="1:11" ht="20.25" customHeight="1">
      <c r="A47" s="1"/>
      <c r="B47" s="24" t="s">
        <v>139</v>
      </c>
      <c r="C47" s="25"/>
      <c r="D47" s="25"/>
      <c r="E47" s="25"/>
      <c r="F47" s="25"/>
      <c r="G47" s="29">
        <f>G46/G41</f>
        <v>0.90476190476190477</v>
      </c>
      <c r="H47" s="96" t="s">
        <v>26</v>
      </c>
      <c r="I47" s="139" t="s">
        <v>27</v>
      </c>
      <c r="J47" s="140"/>
      <c r="K47" s="32" t="s">
        <v>28</v>
      </c>
    </row>
    <row r="48" spans="1:11" ht="24" customHeight="1">
      <c r="A48" s="1"/>
      <c r="B48" s="33" t="s">
        <v>14</v>
      </c>
      <c r="C48" s="25"/>
      <c r="D48" s="25"/>
      <c r="E48" s="25"/>
      <c r="F48" s="25"/>
      <c r="G48" s="34"/>
      <c r="H48" s="97" t="s">
        <v>29</v>
      </c>
      <c r="I48" s="126" t="s">
        <v>29</v>
      </c>
      <c r="J48" s="124"/>
      <c r="K48" s="37" t="s">
        <v>29</v>
      </c>
    </row>
    <row r="49" spans="1:11" ht="24" customHeight="1">
      <c r="A49" s="1"/>
      <c r="B49" s="24" t="s">
        <v>140</v>
      </c>
      <c r="C49" s="2"/>
      <c r="D49" s="2"/>
      <c r="E49" s="2"/>
      <c r="F49" s="25"/>
      <c r="G49" s="27">
        <v>168</v>
      </c>
      <c r="H49" s="97" t="s">
        <v>31</v>
      </c>
      <c r="I49" s="126" t="s">
        <v>31</v>
      </c>
      <c r="J49" s="124"/>
      <c r="K49" s="37" t="s">
        <v>31</v>
      </c>
    </row>
    <row r="50" spans="1:11" ht="24" customHeight="1">
      <c r="A50" s="1"/>
      <c r="B50" s="24" t="s">
        <v>141</v>
      </c>
      <c r="C50" s="2"/>
      <c r="D50" s="2"/>
      <c r="E50" s="2"/>
      <c r="F50" s="2"/>
      <c r="G50" s="26">
        <f>G39</f>
        <v>152</v>
      </c>
      <c r="H50" s="97" t="s">
        <v>33</v>
      </c>
      <c r="I50" s="126" t="s">
        <v>33</v>
      </c>
      <c r="J50" s="124"/>
      <c r="K50" s="37" t="s">
        <v>33</v>
      </c>
    </row>
    <row r="51" spans="1:11" ht="24" customHeight="1">
      <c r="A51" s="1"/>
      <c r="B51" s="38" t="s">
        <v>142</v>
      </c>
      <c r="C51" s="39"/>
      <c r="D51" s="39"/>
      <c r="E51" s="39"/>
      <c r="F51" s="39"/>
      <c r="G51" s="40">
        <f>G50/G49</f>
        <v>0.90476190476190477</v>
      </c>
      <c r="H51" s="98" t="s">
        <v>35</v>
      </c>
      <c r="I51" s="127" t="s">
        <v>35</v>
      </c>
      <c r="J51" s="128"/>
      <c r="K51" s="43" t="s">
        <v>35</v>
      </c>
    </row>
    <row r="52" spans="1:11" ht="5.25" customHeight="1">
      <c r="A52" s="1"/>
      <c r="B52" s="44"/>
      <c r="C52" s="3"/>
      <c r="D52" s="45"/>
      <c r="E52" s="3"/>
      <c r="F52" s="4"/>
      <c r="G52" s="45"/>
      <c r="H52" s="99"/>
      <c r="I52" s="20"/>
      <c r="J52" s="19"/>
      <c r="K52" s="20"/>
    </row>
    <row r="53" spans="1:11" ht="15.75" customHeight="1">
      <c r="A53" s="1"/>
      <c r="B53" s="28" t="s">
        <v>5</v>
      </c>
      <c r="C53" s="122" t="s">
        <v>36</v>
      </c>
      <c r="D53" s="124"/>
      <c r="E53" s="122" t="s">
        <v>37</v>
      </c>
      <c r="F53" s="125"/>
      <c r="G53" s="124"/>
      <c r="H53" s="195" t="s">
        <v>38</v>
      </c>
      <c r="I53" s="124"/>
      <c r="J53" s="122" t="s">
        <v>106</v>
      </c>
      <c r="K53" s="124"/>
    </row>
    <row r="54" spans="1:11" ht="15.75" customHeight="1">
      <c r="A54" s="1"/>
      <c r="B54" s="47"/>
      <c r="C54" s="47"/>
      <c r="D54" s="48"/>
      <c r="E54" s="47"/>
      <c r="F54" s="1"/>
      <c r="G54" s="48"/>
      <c r="H54" s="100"/>
      <c r="I54" s="48"/>
      <c r="J54" s="1"/>
      <c r="K54" s="48"/>
    </row>
    <row r="55" spans="1:11" ht="15.75" customHeight="1">
      <c r="A55" s="1"/>
      <c r="B55" s="47"/>
      <c r="C55" s="47"/>
      <c r="D55" s="48"/>
      <c r="E55" s="47"/>
      <c r="F55" s="1"/>
      <c r="G55" s="48"/>
      <c r="H55" s="100"/>
      <c r="I55" s="48"/>
      <c r="J55" s="1"/>
      <c r="K55" s="48"/>
    </row>
    <row r="56" spans="1:11" ht="15.75" customHeight="1">
      <c r="A56" s="1"/>
      <c r="B56" s="78"/>
      <c r="C56" s="47"/>
      <c r="D56" s="48"/>
      <c r="E56" s="47"/>
      <c r="F56" s="1"/>
      <c r="G56" s="48"/>
      <c r="H56" s="100"/>
      <c r="I56" s="48"/>
      <c r="J56" s="1"/>
      <c r="K56" s="48"/>
    </row>
    <row r="57" spans="1:11" ht="15.75" customHeight="1">
      <c r="A57" s="1"/>
      <c r="B57" s="47"/>
      <c r="C57" s="47"/>
      <c r="D57" s="48"/>
      <c r="E57" s="47"/>
      <c r="F57" s="1"/>
      <c r="G57" s="48"/>
      <c r="H57" s="100"/>
      <c r="I57" s="48"/>
      <c r="J57" s="1"/>
      <c r="K57" s="48"/>
    </row>
    <row r="58" spans="1:11" ht="15.75" customHeight="1">
      <c r="A58" s="51"/>
      <c r="B58" s="52"/>
      <c r="C58" s="170" t="s">
        <v>143</v>
      </c>
      <c r="D58" s="124"/>
      <c r="E58" s="170" t="s">
        <v>108</v>
      </c>
      <c r="F58" s="125"/>
      <c r="G58" s="124"/>
      <c r="H58" s="196" t="s">
        <v>109</v>
      </c>
      <c r="I58" s="124"/>
      <c r="J58" s="170" t="s">
        <v>110</v>
      </c>
      <c r="K58" s="124"/>
    </row>
    <row r="59" spans="1:11" ht="15.75" customHeight="1">
      <c r="A59" s="1"/>
      <c r="B59" s="53"/>
      <c r="C59" s="169"/>
      <c r="D59" s="128"/>
      <c r="E59" s="169" t="s">
        <v>111</v>
      </c>
      <c r="F59" s="132"/>
      <c r="G59" s="128"/>
      <c r="H59" s="197" t="s">
        <v>112</v>
      </c>
      <c r="I59" s="128"/>
      <c r="J59" s="169" t="s">
        <v>113</v>
      </c>
      <c r="K59" s="128"/>
    </row>
    <row r="60" spans="1:11" ht="15.75" customHeight="1">
      <c r="A60" s="1"/>
      <c r="B60" s="1"/>
      <c r="C60" s="2"/>
      <c r="D60" s="2"/>
      <c r="E60" s="2"/>
      <c r="F60" s="2"/>
      <c r="G60" s="2"/>
      <c r="H60" s="9"/>
      <c r="I60" s="1"/>
      <c r="J60" s="1"/>
      <c r="K60" s="1"/>
    </row>
    <row r="61" spans="1:11" ht="15.75" customHeight="1">
      <c r="A61" s="1"/>
      <c r="B61" s="1"/>
      <c r="C61" s="2"/>
      <c r="D61" s="2"/>
      <c r="E61" s="2"/>
      <c r="F61" s="2"/>
      <c r="G61" s="2"/>
      <c r="H61" s="9"/>
      <c r="I61" s="1"/>
      <c r="J61" s="1"/>
      <c r="K61" s="1"/>
    </row>
    <row r="62" spans="1:11" ht="15.75" customHeight="1">
      <c r="A62" s="1"/>
      <c r="B62" s="1"/>
      <c r="C62" s="2"/>
      <c r="D62" s="2"/>
      <c r="E62" s="2"/>
      <c r="F62" s="2"/>
      <c r="G62" s="2"/>
      <c r="H62" s="9"/>
      <c r="I62" s="1"/>
      <c r="J62" s="1"/>
      <c r="K62" s="1"/>
    </row>
    <row r="63" spans="1:11" ht="15.75" customHeight="1">
      <c r="A63" s="1"/>
      <c r="B63" s="1"/>
      <c r="C63" s="2"/>
      <c r="D63" s="2"/>
      <c r="E63" s="2"/>
      <c r="F63" s="2"/>
      <c r="G63" s="2"/>
      <c r="H63" s="9"/>
      <c r="I63" s="1"/>
      <c r="J63" s="1"/>
      <c r="K63" s="1"/>
    </row>
    <row r="64" spans="1:11" ht="15.75" customHeight="1">
      <c r="A64" s="1"/>
      <c r="B64" s="1"/>
      <c r="C64" s="2"/>
      <c r="D64" s="2"/>
      <c r="E64" s="2"/>
      <c r="F64" s="2"/>
      <c r="G64" s="2"/>
      <c r="H64" s="9"/>
      <c r="I64" s="1"/>
      <c r="J64" s="1"/>
      <c r="K64" s="1"/>
    </row>
    <row r="65" spans="1:11" ht="15.75" customHeight="1">
      <c r="A65" s="1"/>
      <c r="B65" s="1"/>
      <c r="C65" s="2"/>
      <c r="D65" s="2"/>
      <c r="E65" s="2"/>
      <c r="F65" s="2"/>
      <c r="G65" s="2"/>
      <c r="H65" s="9"/>
      <c r="I65" s="1"/>
      <c r="J65" s="1"/>
      <c r="K65" s="1"/>
    </row>
    <row r="66" spans="1:11" ht="15.75" customHeight="1">
      <c r="A66" s="1"/>
      <c r="B66" s="1"/>
      <c r="C66" s="2"/>
      <c r="D66" s="2"/>
      <c r="E66" s="2"/>
      <c r="F66" s="2"/>
      <c r="G66" s="2"/>
      <c r="H66" s="9"/>
      <c r="I66" s="1"/>
      <c r="J66" s="1"/>
      <c r="K66" s="1"/>
    </row>
    <row r="67" spans="1:11" ht="15.75" customHeight="1">
      <c r="A67" s="1"/>
      <c r="B67" s="1"/>
      <c r="C67" s="2"/>
      <c r="D67" s="2"/>
      <c r="E67" s="2"/>
      <c r="F67" s="2"/>
      <c r="G67" s="2"/>
      <c r="H67" s="9"/>
      <c r="I67" s="1"/>
      <c r="J67" s="1"/>
      <c r="K67" s="1"/>
    </row>
    <row r="68" spans="1:11" ht="15.75" customHeight="1">
      <c r="A68" s="1"/>
      <c r="B68" s="1"/>
      <c r="C68" s="2"/>
      <c r="D68" s="2"/>
      <c r="E68" s="2"/>
      <c r="F68" s="2"/>
      <c r="G68" s="2"/>
      <c r="H68" s="9"/>
      <c r="I68" s="1"/>
      <c r="J68" s="1"/>
      <c r="K68" s="1"/>
    </row>
    <row r="69" spans="1:11" ht="15.75" customHeight="1">
      <c r="A69" s="1"/>
      <c r="B69" s="1"/>
      <c r="C69" s="2"/>
      <c r="D69" s="2"/>
      <c r="E69" s="2"/>
      <c r="F69" s="2"/>
      <c r="G69" s="2"/>
      <c r="H69" s="9"/>
      <c r="I69" s="1"/>
      <c r="J69" s="1"/>
      <c r="K69" s="1"/>
    </row>
    <row r="70" spans="1:11" ht="15.75" customHeight="1">
      <c r="A70" s="1"/>
      <c r="B70" s="1"/>
      <c r="C70" s="2"/>
      <c r="D70" s="2"/>
      <c r="E70" s="2"/>
      <c r="F70" s="2"/>
      <c r="G70" s="2"/>
      <c r="H70" s="9"/>
      <c r="I70" s="1"/>
      <c r="J70" s="1"/>
      <c r="K70" s="1"/>
    </row>
    <row r="71" spans="1:11" ht="15.75" customHeight="1">
      <c r="A71" s="1"/>
      <c r="B71" s="1"/>
      <c r="C71" s="2"/>
      <c r="D71" s="2"/>
      <c r="E71" s="2"/>
      <c r="F71" s="2"/>
      <c r="G71" s="2"/>
      <c r="H71" s="9"/>
      <c r="I71" s="1"/>
      <c r="J71" s="1"/>
      <c r="K71" s="1"/>
    </row>
    <row r="72" spans="1:11" ht="15.75" customHeight="1">
      <c r="A72" s="1"/>
      <c r="B72" s="1"/>
      <c r="C72" s="2"/>
      <c r="D72" s="2"/>
      <c r="E72" s="2"/>
      <c r="F72" s="2"/>
      <c r="G72" s="2"/>
      <c r="H72" s="9"/>
      <c r="I72" s="1"/>
      <c r="J72" s="1"/>
      <c r="K72" s="1"/>
    </row>
    <row r="73" spans="1:11" ht="15.75" customHeight="1">
      <c r="A73" s="1"/>
      <c r="B73" s="1"/>
      <c r="C73" s="2"/>
      <c r="D73" s="2"/>
      <c r="E73" s="2"/>
      <c r="F73" s="2"/>
      <c r="G73" s="2"/>
      <c r="H73" s="9"/>
      <c r="I73" s="1"/>
      <c r="J73" s="1"/>
      <c r="K73" s="1"/>
    </row>
    <row r="74" spans="1:11" ht="15.75" customHeight="1">
      <c r="A74" s="1"/>
      <c r="B74" s="1"/>
      <c r="C74" s="2"/>
      <c r="D74" s="2"/>
      <c r="E74" s="2"/>
      <c r="F74" s="2"/>
      <c r="G74" s="2"/>
      <c r="H74" s="9"/>
      <c r="I74" s="1"/>
      <c r="J74" s="1"/>
      <c r="K74" s="1"/>
    </row>
    <row r="75" spans="1:11" ht="15.75" customHeight="1">
      <c r="A75" s="1"/>
      <c r="B75" s="1"/>
      <c r="C75" s="2"/>
      <c r="D75" s="2"/>
      <c r="E75" s="2"/>
      <c r="F75" s="2"/>
      <c r="G75" s="2"/>
      <c r="H75" s="9"/>
      <c r="I75" s="1"/>
      <c r="J75" s="1"/>
      <c r="K75" s="1"/>
    </row>
    <row r="76" spans="1:11" ht="15.75" customHeight="1">
      <c r="A76" s="1"/>
      <c r="B76" s="1"/>
      <c r="C76" s="2"/>
      <c r="D76" s="2"/>
      <c r="E76" s="2"/>
      <c r="F76" s="2"/>
      <c r="G76" s="2"/>
      <c r="H76" s="9"/>
      <c r="I76" s="1"/>
      <c r="J76" s="1"/>
      <c r="K76" s="1"/>
    </row>
    <row r="77" spans="1:11" ht="15.75" customHeight="1">
      <c r="A77" s="1"/>
      <c r="B77" s="1"/>
      <c r="C77" s="2"/>
      <c r="D77" s="2"/>
      <c r="E77" s="2"/>
      <c r="F77" s="2"/>
      <c r="G77" s="2"/>
      <c r="H77" s="9"/>
      <c r="I77" s="1"/>
      <c r="J77" s="1"/>
      <c r="K77" s="1"/>
    </row>
    <row r="78" spans="1:11" ht="15.75" customHeight="1">
      <c r="A78" s="1"/>
      <c r="B78" s="1"/>
      <c r="C78" s="2"/>
      <c r="D78" s="2"/>
      <c r="E78" s="2"/>
      <c r="F78" s="2"/>
      <c r="G78" s="2"/>
      <c r="H78" s="9"/>
      <c r="I78" s="1"/>
      <c r="J78" s="1"/>
      <c r="K78" s="1"/>
    </row>
    <row r="79" spans="1:11" ht="15.75" customHeight="1">
      <c r="A79" s="1"/>
      <c r="B79" s="1"/>
      <c r="C79" s="2"/>
      <c r="D79" s="2"/>
      <c r="E79" s="2"/>
      <c r="F79" s="2"/>
      <c r="G79" s="2"/>
      <c r="H79" s="9"/>
      <c r="I79" s="1"/>
      <c r="J79" s="1"/>
      <c r="K79" s="1"/>
    </row>
    <row r="80" spans="1:11" ht="15.75" customHeight="1">
      <c r="A80" s="1"/>
      <c r="B80" s="1"/>
      <c r="C80" s="2"/>
      <c r="D80" s="2"/>
      <c r="E80" s="2"/>
      <c r="F80" s="2"/>
      <c r="G80" s="2"/>
      <c r="H80" s="9"/>
      <c r="I80" s="1"/>
      <c r="J80" s="1"/>
      <c r="K80" s="1"/>
    </row>
    <row r="81" spans="1:11" ht="15.75" customHeight="1">
      <c r="A81" s="1"/>
      <c r="B81" s="1"/>
      <c r="C81" s="2"/>
      <c r="D81" s="2"/>
      <c r="E81" s="2"/>
      <c r="F81" s="2"/>
      <c r="G81" s="2"/>
      <c r="H81" s="9"/>
      <c r="I81" s="1"/>
      <c r="J81" s="1"/>
      <c r="K81" s="1"/>
    </row>
    <row r="82" spans="1:11" ht="15.75" customHeight="1">
      <c r="A82" s="1"/>
      <c r="B82" s="1"/>
      <c r="C82" s="2"/>
      <c r="D82" s="2"/>
      <c r="E82" s="2"/>
      <c r="F82" s="2"/>
      <c r="G82" s="2"/>
      <c r="H82" s="9"/>
      <c r="I82" s="1"/>
      <c r="J82" s="1"/>
      <c r="K82" s="1"/>
    </row>
    <row r="83" spans="1:11" ht="15.75" customHeight="1">
      <c r="A83" s="1"/>
      <c r="B83" s="1"/>
      <c r="C83" s="2"/>
      <c r="D83" s="2"/>
      <c r="E83" s="2"/>
      <c r="F83" s="2"/>
      <c r="G83" s="2"/>
      <c r="H83" s="9"/>
      <c r="I83" s="1"/>
      <c r="J83" s="1"/>
      <c r="K83" s="1"/>
    </row>
    <row r="84" spans="1:11" ht="15.75" customHeight="1">
      <c r="A84" s="1"/>
      <c r="B84" s="1"/>
      <c r="C84" s="2"/>
      <c r="D84" s="2"/>
      <c r="E84" s="2"/>
      <c r="F84" s="2"/>
      <c r="G84" s="2"/>
      <c r="H84" s="9"/>
      <c r="I84" s="1"/>
      <c r="J84" s="1"/>
      <c r="K84" s="1"/>
    </row>
    <row r="85" spans="1:11" ht="15.75" customHeight="1">
      <c r="A85" s="1"/>
      <c r="B85" s="1"/>
      <c r="C85" s="2"/>
      <c r="D85" s="2"/>
      <c r="E85" s="2"/>
      <c r="F85" s="2"/>
      <c r="G85" s="2"/>
      <c r="H85" s="9"/>
      <c r="I85" s="1"/>
      <c r="J85" s="1"/>
      <c r="K85" s="1"/>
    </row>
    <row r="86" spans="1:11" ht="15.75" customHeight="1">
      <c r="A86" s="1"/>
      <c r="B86" s="1"/>
      <c r="C86" s="2"/>
      <c r="D86" s="2"/>
      <c r="E86" s="2"/>
      <c r="F86" s="2"/>
      <c r="G86" s="2"/>
      <c r="H86" s="9"/>
      <c r="I86" s="1"/>
      <c r="J86" s="1"/>
      <c r="K86" s="1"/>
    </row>
    <row r="87" spans="1:11" ht="15.75" customHeight="1">
      <c r="A87" s="1"/>
      <c r="B87" s="1"/>
      <c r="C87" s="2"/>
      <c r="D87" s="2"/>
      <c r="E87" s="2"/>
      <c r="F87" s="2"/>
      <c r="G87" s="2"/>
      <c r="H87" s="9"/>
      <c r="I87" s="1"/>
      <c r="J87" s="1"/>
      <c r="K87" s="1"/>
    </row>
    <row r="88" spans="1:11" ht="15.75" customHeight="1">
      <c r="A88" s="1"/>
      <c r="B88" s="1"/>
      <c r="C88" s="2"/>
      <c r="D88" s="2"/>
      <c r="E88" s="2"/>
      <c r="F88" s="2"/>
      <c r="G88" s="2"/>
      <c r="H88" s="9"/>
      <c r="I88" s="1"/>
      <c r="J88" s="1"/>
      <c r="K88" s="1"/>
    </row>
    <row r="89" spans="1:11" ht="15.75" customHeight="1">
      <c r="A89" s="1"/>
      <c r="B89" s="1"/>
      <c r="C89" s="2"/>
      <c r="D89" s="2"/>
      <c r="E89" s="2"/>
      <c r="F89" s="2"/>
      <c r="G89" s="2"/>
      <c r="H89" s="9"/>
      <c r="I89" s="1"/>
      <c r="J89" s="1"/>
      <c r="K89" s="1"/>
    </row>
    <row r="90" spans="1:11" ht="15.75" customHeight="1">
      <c r="A90" s="1"/>
      <c r="B90" s="1"/>
      <c r="C90" s="2"/>
      <c r="D90" s="2"/>
      <c r="E90" s="2"/>
      <c r="F90" s="2"/>
      <c r="G90" s="2"/>
      <c r="H90" s="9"/>
      <c r="I90" s="1"/>
      <c r="J90" s="1"/>
      <c r="K90" s="1"/>
    </row>
    <row r="91" spans="1:11" ht="15.75" customHeight="1">
      <c r="A91" s="1"/>
      <c r="B91" s="1"/>
      <c r="C91" s="2"/>
      <c r="D91" s="2"/>
      <c r="E91" s="2"/>
      <c r="F91" s="2"/>
      <c r="G91" s="2"/>
      <c r="H91" s="9"/>
      <c r="I91" s="1"/>
      <c r="J91" s="1"/>
      <c r="K91" s="1"/>
    </row>
    <row r="92" spans="1:11" ht="15.75" customHeight="1">
      <c r="A92" s="1"/>
      <c r="B92" s="1"/>
      <c r="C92" s="2"/>
      <c r="D92" s="2"/>
      <c r="E92" s="2"/>
      <c r="F92" s="2"/>
      <c r="G92" s="2"/>
      <c r="H92" s="9"/>
      <c r="I92" s="1"/>
      <c r="J92" s="1"/>
      <c r="K92" s="1"/>
    </row>
    <row r="93" spans="1:11" ht="15.75" customHeight="1">
      <c r="A93" s="1"/>
      <c r="B93" s="1"/>
      <c r="C93" s="2"/>
      <c r="D93" s="2"/>
      <c r="E93" s="2"/>
      <c r="F93" s="2"/>
      <c r="G93" s="2"/>
      <c r="H93" s="9"/>
      <c r="I93" s="1"/>
      <c r="J93" s="1"/>
      <c r="K93" s="1"/>
    </row>
    <row r="94" spans="1:11" ht="15.75" customHeight="1">
      <c r="A94" s="1"/>
      <c r="B94" s="1"/>
      <c r="C94" s="2"/>
      <c r="D94" s="2"/>
      <c r="E94" s="2"/>
      <c r="F94" s="2"/>
      <c r="G94" s="2"/>
      <c r="H94" s="9"/>
      <c r="I94" s="1"/>
      <c r="J94" s="1"/>
      <c r="K94" s="1"/>
    </row>
    <row r="95" spans="1:11" ht="15.75" customHeight="1">
      <c r="A95" s="1"/>
      <c r="B95" s="1"/>
      <c r="C95" s="2"/>
      <c r="D95" s="2"/>
      <c r="E95" s="2"/>
      <c r="F95" s="2"/>
      <c r="G95" s="2"/>
      <c r="H95" s="9"/>
      <c r="I95" s="1"/>
      <c r="J95" s="1"/>
      <c r="K95" s="1"/>
    </row>
    <row r="96" spans="1:11" ht="15.75" customHeight="1">
      <c r="A96" s="1"/>
      <c r="B96" s="1"/>
      <c r="C96" s="2"/>
      <c r="D96" s="2"/>
      <c r="E96" s="2"/>
      <c r="F96" s="2"/>
      <c r="G96" s="2"/>
      <c r="H96" s="9"/>
      <c r="I96" s="1"/>
      <c r="J96" s="1"/>
      <c r="K96" s="1"/>
    </row>
    <row r="97" spans="1:11" ht="15.75" customHeight="1">
      <c r="A97" s="1"/>
      <c r="B97" s="1"/>
      <c r="C97" s="2"/>
      <c r="D97" s="2"/>
      <c r="E97" s="2"/>
      <c r="F97" s="2"/>
      <c r="G97" s="2"/>
      <c r="H97" s="9"/>
      <c r="I97" s="1"/>
      <c r="J97" s="1"/>
      <c r="K97" s="1"/>
    </row>
    <row r="98" spans="1:11" ht="15.75" customHeight="1">
      <c r="A98" s="1"/>
      <c r="B98" s="1"/>
      <c r="C98" s="2"/>
      <c r="D98" s="2"/>
      <c r="E98" s="2"/>
      <c r="F98" s="2"/>
      <c r="G98" s="2"/>
      <c r="H98" s="9"/>
      <c r="I98" s="1"/>
      <c r="J98" s="1"/>
      <c r="K98" s="1"/>
    </row>
    <row r="99" spans="1:11" ht="15.75" customHeight="1">
      <c r="A99" s="1"/>
      <c r="B99" s="1"/>
      <c r="C99" s="2"/>
      <c r="D99" s="2"/>
      <c r="E99" s="2"/>
      <c r="F99" s="2"/>
      <c r="G99" s="2"/>
      <c r="H99" s="9"/>
      <c r="I99" s="1"/>
      <c r="J99" s="1"/>
      <c r="K99" s="1"/>
    </row>
    <row r="100" spans="1:11" ht="15.75" customHeight="1">
      <c r="A100" s="1"/>
      <c r="B100" s="1"/>
      <c r="C100" s="2"/>
      <c r="D100" s="2"/>
      <c r="E100" s="2"/>
      <c r="F100" s="2"/>
      <c r="G100" s="2"/>
      <c r="H100" s="9"/>
      <c r="I100" s="1"/>
      <c r="J100" s="1"/>
      <c r="K100" s="1"/>
    </row>
    <row r="101" spans="1:11" ht="15.75" customHeight="1">
      <c r="A101" s="1"/>
      <c r="B101" s="1"/>
      <c r="C101" s="2"/>
      <c r="D101" s="2"/>
      <c r="E101" s="2"/>
      <c r="F101" s="2"/>
      <c r="G101" s="2"/>
      <c r="H101" s="9"/>
      <c r="I101" s="1"/>
      <c r="J101" s="1"/>
      <c r="K101" s="1"/>
    </row>
    <row r="102" spans="1:11" ht="15.75" customHeight="1">
      <c r="A102" s="1"/>
      <c r="B102" s="1"/>
      <c r="C102" s="2"/>
      <c r="D102" s="2"/>
      <c r="E102" s="2"/>
      <c r="F102" s="2"/>
      <c r="G102" s="2"/>
      <c r="H102" s="9"/>
      <c r="I102" s="1"/>
      <c r="J102" s="1"/>
      <c r="K102" s="1"/>
    </row>
    <row r="103" spans="1:11" ht="15.75" customHeight="1">
      <c r="A103" s="1"/>
      <c r="B103" s="1"/>
      <c r="C103" s="2"/>
      <c r="D103" s="2"/>
      <c r="E103" s="2"/>
      <c r="F103" s="2"/>
      <c r="G103" s="2"/>
      <c r="H103" s="9"/>
      <c r="I103" s="1"/>
      <c r="J103" s="1"/>
      <c r="K103" s="1"/>
    </row>
    <row r="104" spans="1:11" ht="15.75" customHeight="1">
      <c r="A104" s="1"/>
      <c r="B104" s="1"/>
      <c r="C104" s="2"/>
      <c r="D104" s="2"/>
      <c r="E104" s="2"/>
      <c r="F104" s="2"/>
      <c r="G104" s="2"/>
      <c r="H104" s="9"/>
      <c r="I104" s="1"/>
      <c r="J104" s="1"/>
      <c r="K104" s="1"/>
    </row>
    <row r="105" spans="1:11" ht="15.75" customHeight="1">
      <c r="A105" s="1"/>
      <c r="B105" s="1"/>
      <c r="C105" s="2"/>
      <c r="D105" s="2"/>
      <c r="E105" s="2"/>
      <c r="F105" s="2"/>
      <c r="G105" s="2"/>
      <c r="H105" s="9"/>
      <c r="I105" s="1"/>
      <c r="J105" s="1"/>
      <c r="K105" s="1"/>
    </row>
    <row r="106" spans="1:11" ht="15.75" customHeight="1">
      <c r="A106" s="1"/>
      <c r="B106" s="1"/>
      <c r="C106" s="2"/>
      <c r="D106" s="2"/>
      <c r="E106" s="2"/>
      <c r="F106" s="2"/>
      <c r="G106" s="2"/>
      <c r="H106" s="9"/>
      <c r="I106" s="1"/>
      <c r="J106" s="1"/>
      <c r="K106" s="1"/>
    </row>
    <row r="107" spans="1:11" ht="15.75" customHeight="1">
      <c r="A107" s="1"/>
      <c r="B107" s="1"/>
      <c r="C107" s="2"/>
      <c r="D107" s="2"/>
      <c r="E107" s="2"/>
      <c r="F107" s="2"/>
      <c r="G107" s="2"/>
      <c r="H107" s="9"/>
      <c r="I107" s="1"/>
      <c r="J107" s="1"/>
      <c r="K107" s="1"/>
    </row>
    <row r="108" spans="1:11" ht="15.75" customHeight="1">
      <c r="A108" s="1"/>
      <c r="B108" s="1"/>
      <c r="C108" s="2"/>
      <c r="D108" s="2"/>
      <c r="E108" s="2"/>
      <c r="F108" s="2"/>
      <c r="G108" s="2"/>
      <c r="H108" s="9"/>
      <c r="I108" s="1"/>
      <c r="J108" s="1"/>
      <c r="K108" s="1"/>
    </row>
    <row r="109" spans="1:11" ht="15.75" customHeight="1">
      <c r="A109" s="1"/>
      <c r="B109" s="1"/>
      <c r="C109" s="2"/>
      <c r="D109" s="2"/>
      <c r="E109" s="2"/>
      <c r="F109" s="2"/>
      <c r="G109" s="2"/>
      <c r="H109" s="9"/>
      <c r="I109" s="1"/>
      <c r="J109" s="1"/>
      <c r="K109" s="1"/>
    </row>
    <row r="110" spans="1:11" ht="15.75" customHeight="1">
      <c r="A110" s="1"/>
      <c r="B110" s="1"/>
      <c r="C110" s="2"/>
      <c r="D110" s="2"/>
      <c r="E110" s="2"/>
      <c r="F110" s="2"/>
      <c r="G110" s="2"/>
      <c r="H110" s="9"/>
      <c r="I110" s="1"/>
      <c r="J110" s="1"/>
      <c r="K110" s="1"/>
    </row>
    <row r="111" spans="1:11" ht="15.75" customHeight="1">
      <c r="A111" s="1"/>
      <c r="B111" s="1"/>
      <c r="C111" s="2"/>
      <c r="D111" s="2"/>
      <c r="E111" s="2"/>
      <c r="F111" s="2"/>
      <c r="G111" s="2"/>
      <c r="H111" s="9"/>
      <c r="I111" s="1"/>
      <c r="J111" s="1"/>
      <c r="K111" s="1"/>
    </row>
    <row r="112" spans="1:11" ht="15.75" customHeight="1">
      <c r="A112" s="1"/>
      <c r="B112" s="1"/>
      <c r="C112" s="2"/>
      <c r="D112" s="2"/>
      <c r="E112" s="2"/>
      <c r="F112" s="2"/>
      <c r="G112" s="2"/>
      <c r="H112" s="9"/>
      <c r="I112" s="1"/>
      <c r="J112" s="1"/>
      <c r="K112" s="1"/>
    </row>
    <row r="113" spans="1:11" ht="15.75" customHeight="1">
      <c r="A113" s="1"/>
      <c r="B113" s="1"/>
      <c r="C113" s="2"/>
      <c r="D113" s="2"/>
      <c r="E113" s="2"/>
      <c r="F113" s="2"/>
      <c r="G113" s="2"/>
      <c r="H113" s="9"/>
      <c r="I113" s="1"/>
      <c r="J113" s="1"/>
      <c r="K113" s="1"/>
    </row>
    <row r="114" spans="1:11" ht="15.75" customHeight="1">
      <c r="A114" s="1"/>
      <c r="B114" s="1"/>
      <c r="C114" s="2"/>
      <c r="D114" s="2"/>
      <c r="E114" s="2"/>
      <c r="F114" s="2"/>
      <c r="G114" s="2"/>
      <c r="H114" s="9"/>
      <c r="I114" s="1"/>
      <c r="J114" s="1"/>
      <c r="K114" s="1"/>
    </row>
    <row r="115" spans="1:11" ht="15.75" customHeight="1">
      <c r="A115" s="1"/>
      <c r="B115" s="1"/>
      <c r="C115" s="2"/>
      <c r="D115" s="2"/>
      <c r="E115" s="2"/>
      <c r="F115" s="2"/>
      <c r="G115" s="2"/>
      <c r="H115" s="9"/>
      <c r="I115" s="1"/>
      <c r="J115" s="1"/>
      <c r="K115" s="1"/>
    </row>
    <row r="116" spans="1:11" ht="15.75" customHeight="1">
      <c r="A116" s="1"/>
      <c r="B116" s="1"/>
      <c r="C116" s="2"/>
      <c r="D116" s="2"/>
      <c r="E116" s="2"/>
      <c r="F116" s="2"/>
      <c r="G116" s="2"/>
      <c r="H116" s="9"/>
      <c r="I116" s="1"/>
      <c r="J116" s="1"/>
      <c r="K116" s="1"/>
    </row>
    <row r="117" spans="1:11" ht="15.75" customHeight="1">
      <c r="A117" s="1"/>
      <c r="B117" s="1"/>
      <c r="C117" s="2"/>
      <c r="D117" s="2"/>
      <c r="E117" s="2"/>
      <c r="F117" s="2"/>
      <c r="G117" s="2"/>
      <c r="H117" s="9"/>
      <c r="I117" s="1"/>
      <c r="J117" s="1"/>
      <c r="K117" s="1"/>
    </row>
    <row r="118" spans="1:11" ht="15.75" customHeight="1">
      <c r="A118" s="1"/>
      <c r="B118" s="1"/>
      <c r="C118" s="2"/>
      <c r="D118" s="2"/>
      <c r="E118" s="2"/>
      <c r="F118" s="2"/>
      <c r="G118" s="2"/>
      <c r="H118" s="9"/>
      <c r="I118" s="1"/>
      <c r="J118" s="1"/>
      <c r="K118" s="1"/>
    </row>
    <row r="119" spans="1:11" ht="15.75" customHeight="1">
      <c r="A119" s="1"/>
      <c r="B119" s="1"/>
      <c r="C119" s="2"/>
      <c r="D119" s="2"/>
      <c r="E119" s="2"/>
      <c r="F119" s="2"/>
      <c r="G119" s="2"/>
      <c r="H119" s="9"/>
      <c r="I119" s="1"/>
      <c r="J119" s="1"/>
      <c r="K119" s="1"/>
    </row>
    <row r="120" spans="1:11" ht="15.75" customHeight="1">
      <c r="A120" s="1"/>
      <c r="B120" s="1"/>
      <c r="C120" s="2"/>
      <c r="D120" s="2"/>
      <c r="E120" s="2"/>
      <c r="F120" s="2"/>
      <c r="G120" s="2"/>
      <c r="H120" s="9"/>
      <c r="I120" s="1"/>
      <c r="J120" s="1"/>
      <c r="K120" s="1"/>
    </row>
    <row r="121" spans="1:11" ht="15.75" customHeight="1">
      <c r="A121" s="1"/>
      <c r="B121" s="1"/>
      <c r="C121" s="2"/>
      <c r="D121" s="2"/>
      <c r="E121" s="2"/>
      <c r="F121" s="2"/>
      <c r="G121" s="2"/>
      <c r="H121" s="9"/>
      <c r="I121" s="1"/>
      <c r="J121" s="1"/>
      <c r="K121" s="1"/>
    </row>
    <row r="122" spans="1:11" ht="15.75" customHeight="1">
      <c r="A122" s="1"/>
      <c r="B122" s="1"/>
      <c r="C122" s="2"/>
      <c r="D122" s="2"/>
      <c r="E122" s="2"/>
      <c r="F122" s="2"/>
      <c r="G122" s="2"/>
      <c r="H122" s="9"/>
      <c r="I122" s="1"/>
      <c r="J122" s="1"/>
      <c r="K122" s="1"/>
    </row>
    <row r="123" spans="1:11" ht="15.75" customHeight="1">
      <c r="A123" s="1"/>
      <c r="B123" s="1"/>
      <c r="C123" s="2"/>
      <c r="D123" s="2"/>
      <c r="E123" s="2"/>
      <c r="F123" s="2"/>
      <c r="G123" s="2"/>
      <c r="H123" s="9"/>
      <c r="I123" s="1"/>
      <c r="J123" s="1"/>
      <c r="K123" s="1"/>
    </row>
    <row r="124" spans="1:11" ht="15.75" customHeight="1">
      <c r="A124" s="1"/>
      <c r="B124" s="1"/>
      <c r="C124" s="2"/>
      <c r="D124" s="2"/>
      <c r="E124" s="2"/>
      <c r="F124" s="2"/>
      <c r="G124" s="2"/>
      <c r="H124" s="9"/>
      <c r="I124" s="1"/>
      <c r="J124" s="1"/>
      <c r="K124" s="1"/>
    </row>
    <row r="125" spans="1:11" ht="15.75" customHeight="1">
      <c r="A125" s="1"/>
      <c r="B125" s="1"/>
      <c r="C125" s="2"/>
      <c r="D125" s="2"/>
      <c r="E125" s="2"/>
      <c r="F125" s="2"/>
      <c r="G125" s="2"/>
      <c r="H125" s="9"/>
      <c r="I125" s="1"/>
      <c r="J125" s="1"/>
      <c r="K125" s="1"/>
    </row>
    <row r="126" spans="1:11" ht="15.75" customHeight="1">
      <c r="A126" s="1"/>
      <c r="B126" s="1"/>
      <c r="C126" s="2"/>
      <c r="D126" s="2"/>
      <c r="E126" s="2"/>
      <c r="F126" s="2"/>
      <c r="G126" s="2"/>
      <c r="H126" s="9"/>
      <c r="I126" s="1"/>
      <c r="J126" s="1"/>
      <c r="K126" s="1"/>
    </row>
    <row r="127" spans="1:11" ht="15.75" customHeight="1">
      <c r="A127" s="1"/>
      <c r="B127" s="1"/>
      <c r="C127" s="2"/>
      <c r="D127" s="2"/>
      <c r="E127" s="2"/>
      <c r="F127" s="2"/>
      <c r="G127" s="2"/>
      <c r="H127" s="9"/>
      <c r="I127" s="1"/>
      <c r="J127" s="1"/>
      <c r="K127" s="1"/>
    </row>
    <row r="128" spans="1:11" ht="15.75" customHeight="1">
      <c r="A128" s="1"/>
      <c r="B128" s="1"/>
      <c r="C128" s="2"/>
      <c r="D128" s="2"/>
      <c r="E128" s="2"/>
      <c r="F128" s="2"/>
      <c r="G128" s="2"/>
      <c r="H128" s="9"/>
      <c r="I128" s="1"/>
      <c r="J128" s="1"/>
      <c r="K128" s="1"/>
    </row>
    <row r="129" spans="1:11" ht="15.75" customHeight="1">
      <c r="A129" s="1"/>
      <c r="B129" s="1"/>
      <c r="C129" s="2"/>
      <c r="D129" s="2"/>
      <c r="E129" s="2"/>
      <c r="F129" s="2"/>
      <c r="G129" s="2"/>
      <c r="H129" s="9"/>
      <c r="I129" s="1"/>
      <c r="J129" s="1"/>
      <c r="K129" s="1"/>
    </row>
    <row r="130" spans="1:11" ht="15.75" customHeight="1">
      <c r="A130" s="1"/>
      <c r="B130" s="1"/>
      <c r="C130" s="2"/>
      <c r="D130" s="2"/>
      <c r="E130" s="2"/>
      <c r="F130" s="2"/>
      <c r="G130" s="2"/>
      <c r="H130" s="9"/>
      <c r="I130" s="1"/>
      <c r="J130" s="1"/>
      <c r="K130" s="1"/>
    </row>
    <row r="131" spans="1:11" ht="15.75" customHeight="1">
      <c r="A131" s="1"/>
      <c r="B131" s="1"/>
      <c r="C131" s="2"/>
      <c r="D131" s="2"/>
      <c r="E131" s="2"/>
      <c r="F131" s="2"/>
      <c r="G131" s="2"/>
      <c r="H131" s="9"/>
      <c r="I131" s="1"/>
      <c r="J131" s="1"/>
      <c r="K131" s="1"/>
    </row>
    <row r="132" spans="1:11" ht="15.75" customHeight="1">
      <c r="A132" s="1"/>
      <c r="B132" s="1"/>
      <c r="C132" s="2"/>
      <c r="D132" s="2"/>
      <c r="E132" s="2"/>
      <c r="F132" s="2"/>
      <c r="G132" s="2"/>
      <c r="H132" s="9"/>
      <c r="I132" s="1"/>
      <c r="J132" s="1"/>
      <c r="K132" s="1"/>
    </row>
    <row r="133" spans="1:11" ht="15.75" customHeight="1">
      <c r="A133" s="1"/>
      <c r="B133" s="1"/>
      <c r="C133" s="2"/>
      <c r="D133" s="2"/>
      <c r="E133" s="2"/>
      <c r="F133" s="2"/>
      <c r="G133" s="2"/>
      <c r="H133" s="9"/>
      <c r="I133" s="1"/>
      <c r="J133" s="1"/>
      <c r="K133" s="1"/>
    </row>
    <row r="134" spans="1:11" ht="15.75" customHeight="1">
      <c r="A134" s="1"/>
      <c r="B134" s="1"/>
      <c r="C134" s="2"/>
      <c r="D134" s="2"/>
      <c r="E134" s="2"/>
      <c r="F134" s="2"/>
      <c r="G134" s="2"/>
      <c r="H134" s="9"/>
      <c r="I134" s="1"/>
      <c r="J134" s="1"/>
      <c r="K134" s="1"/>
    </row>
    <row r="135" spans="1:11" ht="15.75" customHeight="1">
      <c r="A135" s="1"/>
      <c r="B135" s="1"/>
      <c r="C135" s="2"/>
      <c r="D135" s="2"/>
      <c r="E135" s="2"/>
      <c r="F135" s="2"/>
      <c r="G135" s="2"/>
      <c r="H135" s="9"/>
      <c r="I135" s="1"/>
      <c r="J135" s="1"/>
      <c r="K135" s="1"/>
    </row>
    <row r="136" spans="1:11" ht="15.75" customHeight="1">
      <c r="A136" s="1"/>
      <c r="B136" s="1"/>
      <c r="C136" s="2"/>
      <c r="D136" s="2"/>
      <c r="E136" s="2"/>
      <c r="F136" s="2"/>
      <c r="G136" s="2"/>
      <c r="H136" s="9"/>
      <c r="I136" s="1"/>
      <c r="J136" s="1"/>
      <c r="K136" s="1"/>
    </row>
    <row r="137" spans="1:11" ht="15.75" customHeight="1">
      <c r="A137" s="1"/>
      <c r="B137" s="1"/>
      <c r="C137" s="2"/>
      <c r="D137" s="2"/>
      <c r="E137" s="2"/>
      <c r="F137" s="2"/>
      <c r="G137" s="2"/>
      <c r="H137" s="9"/>
      <c r="I137" s="1"/>
      <c r="J137" s="1"/>
      <c r="K137" s="1"/>
    </row>
    <row r="138" spans="1:11" ht="15.75" customHeight="1">
      <c r="A138" s="1"/>
      <c r="B138" s="1"/>
      <c r="C138" s="2"/>
      <c r="D138" s="2"/>
      <c r="E138" s="2"/>
      <c r="F138" s="2"/>
      <c r="G138" s="2"/>
      <c r="H138" s="9"/>
      <c r="I138" s="1"/>
      <c r="J138" s="1"/>
      <c r="K138" s="1"/>
    </row>
    <row r="139" spans="1:11" ht="15.75" customHeight="1">
      <c r="A139" s="1"/>
      <c r="B139" s="1"/>
      <c r="C139" s="2"/>
      <c r="D139" s="2"/>
      <c r="E139" s="2"/>
      <c r="F139" s="2"/>
      <c r="G139" s="2"/>
      <c r="H139" s="9"/>
      <c r="I139" s="1"/>
      <c r="J139" s="1"/>
      <c r="K139" s="1"/>
    </row>
    <row r="140" spans="1:11" ht="15.75" customHeight="1">
      <c r="A140" s="1"/>
      <c r="B140" s="1"/>
      <c r="C140" s="2"/>
      <c r="D140" s="2"/>
      <c r="E140" s="2"/>
      <c r="F140" s="2"/>
      <c r="G140" s="2"/>
      <c r="H140" s="9"/>
      <c r="I140" s="1"/>
      <c r="J140" s="1"/>
      <c r="K140" s="1"/>
    </row>
    <row r="141" spans="1:11" ht="15.75" customHeight="1">
      <c r="A141" s="1"/>
      <c r="B141" s="1"/>
      <c r="C141" s="2"/>
      <c r="D141" s="2"/>
      <c r="E141" s="2"/>
      <c r="F141" s="2"/>
      <c r="G141" s="2"/>
      <c r="H141" s="9"/>
      <c r="I141" s="1"/>
      <c r="J141" s="1"/>
      <c r="K141" s="1"/>
    </row>
    <row r="142" spans="1:11" ht="15.75" customHeight="1">
      <c r="A142" s="1"/>
      <c r="B142" s="1"/>
      <c r="C142" s="2"/>
      <c r="D142" s="2"/>
      <c r="E142" s="2"/>
      <c r="F142" s="2"/>
      <c r="G142" s="2"/>
      <c r="H142" s="9"/>
      <c r="I142" s="1"/>
      <c r="J142" s="1"/>
      <c r="K142" s="1"/>
    </row>
    <row r="143" spans="1:11" ht="15.75" customHeight="1">
      <c r="A143" s="1"/>
      <c r="B143" s="1"/>
      <c r="C143" s="2"/>
      <c r="D143" s="2"/>
      <c r="E143" s="2"/>
      <c r="F143" s="2"/>
      <c r="G143" s="2"/>
      <c r="H143" s="9"/>
      <c r="I143" s="1"/>
      <c r="J143" s="1"/>
      <c r="K143" s="1"/>
    </row>
    <row r="144" spans="1:11" ht="15.75" customHeight="1">
      <c r="A144" s="1"/>
      <c r="B144" s="1"/>
      <c r="C144" s="2"/>
      <c r="D144" s="2"/>
      <c r="E144" s="2"/>
      <c r="F144" s="2"/>
      <c r="G144" s="2"/>
      <c r="H144" s="9"/>
      <c r="I144" s="1"/>
      <c r="J144" s="1"/>
      <c r="K144" s="1"/>
    </row>
    <row r="145" spans="1:11" ht="15.75" customHeight="1">
      <c r="A145" s="1"/>
      <c r="B145" s="1"/>
      <c r="C145" s="2"/>
      <c r="D145" s="2"/>
      <c r="E145" s="2"/>
      <c r="F145" s="2"/>
      <c r="G145" s="2"/>
      <c r="H145" s="9"/>
      <c r="I145" s="1"/>
      <c r="J145" s="1"/>
      <c r="K145" s="1"/>
    </row>
    <row r="146" spans="1:11" ht="15.75" customHeight="1">
      <c r="A146" s="1"/>
      <c r="B146" s="1"/>
      <c r="C146" s="2"/>
      <c r="D146" s="2"/>
      <c r="E146" s="2"/>
      <c r="F146" s="2"/>
      <c r="G146" s="2"/>
      <c r="H146" s="9"/>
      <c r="I146" s="1"/>
      <c r="J146" s="1"/>
      <c r="K146" s="1"/>
    </row>
    <row r="147" spans="1:11" ht="15.75" customHeight="1">
      <c r="A147" s="1"/>
      <c r="B147" s="1"/>
      <c r="C147" s="2"/>
      <c r="D147" s="2"/>
      <c r="E147" s="2"/>
      <c r="F147" s="2"/>
      <c r="G147" s="2"/>
      <c r="H147" s="9"/>
      <c r="I147" s="1"/>
      <c r="J147" s="1"/>
      <c r="K147" s="1"/>
    </row>
    <row r="148" spans="1:11" ht="15.75" customHeight="1">
      <c r="A148" s="1"/>
      <c r="B148" s="1"/>
      <c r="C148" s="2"/>
      <c r="D148" s="2"/>
      <c r="E148" s="2"/>
      <c r="F148" s="2"/>
      <c r="G148" s="2"/>
      <c r="H148" s="9"/>
      <c r="I148" s="1"/>
      <c r="J148" s="1"/>
      <c r="K148" s="1"/>
    </row>
    <row r="149" spans="1:11" ht="15.75" customHeight="1">
      <c r="A149" s="1"/>
      <c r="B149" s="1"/>
      <c r="C149" s="2"/>
      <c r="D149" s="2"/>
      <c r="E149" s="2"/>
      <c r="F149" s="2"/>
      <c r="G149" s="2"/>
      <c r="H149" s="9"/>
      <c r="I149" s="1"/>
      <c r="J149" s="1"/>
      <c r="K149" s="1"/>
    </row>
    <row r="150" spans="1:11" ht="15.75" customHeight="1">
      <c r="A150" s="1"/>
      <c r="B150" s="1"/>
      <c r="C150" s="2"/>
      <c r="D150" s="2"/>
      <c r="E150" s="2"/>
      <c r="F150" s="2"/>
      <c r="G150" s="2"/>
      <c r="H150" s="9"/>
      <c r="I150" s="1"/>
      <c r="J150" s="1"/>
      <c r="K150" s="1"/>
    </row>
    <row r="151" spans="1:11" ht="15.75" customHeight="1">
      <c r="A151" s="1"/>
      <c r="B151" s="1"/>
      <c r="C151" s="2"/>
      <c r="D151" s="2"/>
      <c r="E151" s="2"/>
      <c r="F151" s="2"/>
      <c r="G151" s="2"/>
      <c r="H151" s="9"/>
      <c r="I151" s="1"/>
      <c r="J151" s="1"/>
      <c r="K151" s="1"/>
    </row>
    <row r="152" spans="1:11" ht="15.75" customHeight="1">
      <c r="A152" s="1"/>
      <c r="B152" s="1"/>
      <c r="C152" s="2"/>
      <c r="D152" s="2"/>
      <c r="E152" s="2"/>
      <c r="F152" s="2"/>
      <c r="G152" s="2"/>
      <c r="H152" s="9"/>
      <c r="I152" s="1"/>
      <c r="J152" s="1"/>
      <c r="K152" s="1"/>
    </row>
    <row r="153" spans="1:11" ht="15.75" customHeight="1">
      <c r="A153" s="1"/>
      <c r="B153" s="1"/>
      <c r="C153" s="2"/>
      <c r="D153" s="2"/>
      <c r="E153" s="2"/>
      <c r="F153" s="2"/>
      <c r="G153" s="2"/>
      <c r="H153" s="9"/>
      <c r="I153" s="1"/>
      <c r="J153" s="1"/>
      <c r="K153" s="1"/>
    </row>
    <row r="154" spans="1:11" ht="15.75" customHeight="1">
      <c r="A154" s="1"/>
      <c r="B154" s="1"/>
      <c r="C154" s="2"/>
      <c r="D154" s="2"/>
      <c r="E154" s="2"/>
      <c r="F154" s="2"/>
      <c r="G154" s="2"/>
      <c r="H154" s="9"/>
      <c r="I154" s="1"/>
      <c r="J154" s="1"/>
      <c r="K154" s="1"/>
    </row>
    <row r="155" spans="1:11" ht="15.75" customHeight="1">
      <c r="A155" s="1"/>
      <c r="B155" s="1"/>
      <c r="C155" s="2"/>
      <c r="D155" s="2"/>
      <c r="E155" s="2"/>
      <c r="F155" s="2"/>
      <c r="G155" s="2"/>
      <c r="H155" s="9"/>
      <c r="I155" s="1"/>
      <c r="J155" s="1"/>
      <c r="K155" s="1"/>
    </row>
    <row r="156" spans="1:11" ht="15.75" customHeight="1">
      <c r="A156" s="1"/>
      <c r="B156" s="1"/>
      <c r="C156" s="2"/>
      <c r="D156" s="2"/>
      <c r="E156" s="2"/>
      <c r="F156" s="2"/>
      <c r="G156" s="2"/>
      <c r="H156" s="9"/>
      <c r="I156" s="1"/>
      <c r="J156" s="1"/>
      <c r="K156" s="1"/>
    </row>
    <row r="157" spans="1:11" ht="15.75" customHeight="1">
      <c r="A157" s="1"/>
      <c r="B157" s="1"/>
      <c r="C157" s="2"/>
      <c r="D157" s="2"/>
      <c r="E157" s="2"/>
      <c r="F157" s="2"/>
      <c r="G157" s="2"/>
      <c r="H157" s="9"/>
      <c r="I157" s="1"/>
      <c r="J157" s="1"/>
      <c r="K157" s="1"/>
    </row>
    <row r="158" spans="1:11" ht="15.75" customHeight="1">
      <c r="A158" s="1"/>
      <c r="B158" s="1"/>
      <c r="C158" s="2"/>
      <c r="D158" s="2"/>
      <c r="E158" s="2"/>
      <c r="F158" s="2"/>
      <c r="G158" s="2"/>
      <c r="H158" s="9"/>
      <c r="I158" s="1"/>
      <c r="J158" s="1"/>
      <c r="K158" s="1"/>
    </row>
    <row r="159" spans="1:11" ht="15.75" customHeight="1">
      <c r="A159" s="1"/>
      <c r="B159" s="1"/>
      <c r="C159" s="2"/>
      <c r="D159" s="2"/>
      <c r="E159" s="2"/>
      <c r="F159" s="2"/>
      <c r="G159" s="2"/>
      <c r="H159" s="9"/>
      <c r="I159" s="1"/>
      <c r="J159" s="1"/>
      <c r="K159" s="1"/>
    </row>
    <row r="160" spans="1:11" ht="15.75" customHeight="1">
      <c r="A160" s="1"/>
      <c r="B160" s="1"/>
      <c r="C160" s="2"/>
      <c r="D160" s="2"/>
      <c r="E160" s="2"/>
      <c r="F160" s="2"/>
      <c r="G160" s="2"/>
      <c r="H160" s="9"/>
      <c r="I160" s="1"/>
      <c r="J160" s="1"/>
      <c r="K160" s="1"/>
    </row>
    <row r="161" spans="1:11" ht="15.75" customHeight="1">
      <c r="A161" s="1"/>
      <c r="B161" s="1"/>
      <c r="C161" s="2"/>
      <c r="D161" s="2"/>
      <c r="E161" s="2"/>
      <c r="F161" s="2"/>
      <c r="G161" s="2"/>
      <c r="H161" s="9"/>
      <c r="I161" s="1"/>
      <c r="J161" s="1"/>
      <c r="K161" s="1"/>
    </row>
    <row r="162" spans="1:11" ht="15.75" customHeight="1">
      <c r="A162" s="1"/>
      <c r="B162" s="1"/>
      <c r="C162" s="2"/>
      <c r="D162" s="2"/>
      <c r="E162" s="2"/>
      <c r="F162" s="2"/>
      <c r="G162" s="2"/>
      <c r="H162" s="9"/>
      <c r="I162" s="1"/>
      <c r="J162" s="1"/>
      <c r="K162" s="1"/>
    </row>
    <row r="163" spans="1:11" ht="15.75" customHeight="1">
      <c r="A163" s="1"/>
      <c r="B163" s="1"/>
      <c r="C163" s="2"/>
      <c r="D163" s="2"/>
      <c r="E163" s="2"/>
      <c r="F163" s="2"/>
      <c r="G163" s="2"/>
      <c r="H163" s="9"/>
      <c r="I163" s="1"/>
      <c r="J163" s="1"/>
      <c r="K163" s="1"/>
    </row>
    <row r="164" spans="1:11" ht="15.75" customHeight="1">
      <c r="A164" s="1"/>
      <c r="B164" s="1"/>
      <c r="C164" s="2"/>
      <c r="D164" s="2"/>
      <c r="E164" s="2"/>
      <c r="F164" s="2"/>
      <c r="G164" s="2"/>
      <c r="H164" s="9"/>
      <c r="I164" s="1"/>
      <c r="J164" s="1"/>
      <c r="K164" s="1"/>
    </row>
    <row r="165" spans="1:11" ht="15.75" customHeight="1">
      <c r="A165" s="1"/>
      <c r="B165" s="1"/>
      <c r="C165" s="2"/>
      <c r="D165" s="2"/>
      <c r="E165" s="2"/>
      <c r="F165" s="2"/>
      <c r="G165" s="2"/>
      <c r="H165" s="9"/>
      <c r="I165" s="1"/>
      <c r="J165" s="1"/>
      <c r="K165" s="1"/>
    </row>
    <row r="166" spans="1:11" ht="15.75" customHeight="1">
      <c r="A166" s="1"/>
      <c r="B166" s="1"/>
      <c r="C166" s="2"/>
      <c r="D166" s="2"/>
      <c r="E166" s="2"/>
      <c r="F166" s="2"/>
      <c r="G166" s="2"/>
      <c r="H166" s="9"/>
      <c r="I166" s="1"/>
      <c r="J166" s="1"/>
      <c r="K166" s="1"/>
    </row>
    <row r="167" spans="1:11" ht="15.75" customHeight="1">
      <c r="A167" s="1"/>
      <c r="B167" s="1"/>
      <c r="C167" s="2"/>
      <c r="D167" s="2"/>
      <c r="E167" s="2"/>
      <c r="F167" s="2"/>
      <c r="G167" s="2"/>
      <c r="H167" s="9"/>
      <c r="I167" s="1"/>
      <c r="J167" s="1"/>
      <c r="K167" s="1"/>
    </row>
    <row r="168" spans="1:11" ht="15.75" customHeight="1">
      <c r="A168" s="1"/>
      <c r="B168" s="1"/>
      <c r="C168" s="2"/>
      <c r="D168" s="2"/>
      <c r="E168" s="2"/>
      <c r="F168" s="2"/>
      <c r="G168" s="2"/>
      <c r="H168" s="9"/>
      <c r="I168" s="1"/>
      <c r="J168" s="1"/>
      <c r="K168" s="1"/>
    </row>
    <row r="169" spans="1:11" ht="15.75" customHeight="1">
      <c r="A169" s="1"/>
      <c r="B169" s="1"/>
      <c r="C169" s="2"/>
      <c r="D169" s="2"/>
      <c r="E169" s="2"/>
      <c r="F169" s="2"/>
      <c r="G169" s="2"/>
      <c r="H169" s="9"/>
      <c r="I169" s="1"/>
      <c r="J169" s="1"/>
      <c r="K169" s="1"/>
    </row>
    <row r="170" spans="1:11" ht="15.75" customHeight="1">
      <c r="A170" s="1"/>
      <c r="B170" s="1"/>
      <c r="C170" s="2"/>
      <c r="D170" s="2"/>
      <c r="E170" s="2"/>
      <c r="F170" s="2"/>
      <c r="G170" s="2"/>
      <c r="H170" s="9"/>
      <c r="I170" s="1"/>
      <c r="J170" s="1"/>
      <c r="K170" s="1"/>
    </row>
    <row r="171" spans="1:11" ht="15.75" customHeight="1">
      <c r="A171" s="1"/>
      <c r="B171" s="1"/>
      <c r="C171" s="2"/>
      <c r="D171" s="2"/>
      <c r="E171" s="2"/>
      <c r="F171" s="2"/>
      <c r="G171" s="2"/>
      <c r="H171" s="9"/>
      <c r="I171" s="1"/>
      <c r="J171" s="1"/>
      <c r="K171" s="1"/>
    </row>
    <row r="172" spans="1:11" ht="15.75" customHeight="1">
      <c r="A172" s="1"/>
      <c r="B172" s="1"/>
      <c r="C172" s="2"/>
      <c r="D172" s="2"/>
      <c r="E172" s="2"/>
      <c r="F172" s="2"/>
      <c r="G172" s="2"/>
      <c r="H172" s="9"/>
      <c r="I172" s="1"/>
      <c r="J172" s="1"/>
      <c r="K172" s="1"/>
    </row>
    <row r="173" spans="1:11" ht="15.75" customHeight="1">
      <c r="A173" s="1"/>
      <c r="B173" s="1"/>
      <c r="C173" s="2"/>
      <c r="D173" s="2"/>
      <c r="E173" s="2"/>
      <c r="F173" s="2"/>
      <c r="G173" s="2"/>
      <c r="H173" s="9"/>
      <c r="I173" s="1"/>
      <c r="J173" s="1"/>
      <c r="K173" s="1"/>
    </row>
    <row r="174" spans="1:11" ht="15.75" customHeight="1">
      <c r="A174" s="1"/>
      <c r="B174" s="1"/>
      <c r="C174" s="2"/>
      <c r="D174" s="2"/>
      <c r="E174" s="2"/>
      <c r="F174" s="2"/>
      <c r="G174" s="2"/>
      <c r="H174" s="9"/>
      <c r="I174" s="1"/>
      <c r="J174" s="1"/>
      <c r="K174" s="1"/>
    </row>
    <row r="175" spans="1:11" ht="15.75" customHeight="1">
      <c r="A175" s="1"/>
      <c r="B175" s="1"/>
      <c r="C175" s="2"/>
      <c r="D175" s="2"/>
      <c r="E175" s="2"/>
      <c r="F175" s="2"/>
      <c r="G175" s="2"/>
      <c r="H175" s="9"/>
      <c r="I175" s="1"/>
      <c r="J175" s="1"/>
      <c r="K175" s="1"/>
    </row>
    <row r="176" spans="1:11" ht="15.75" customHeight="1">
      <c r="A176" s="1"/>
      <c r="B176" s="1"/>
      <c r="C176" s="2"/>
      <c r="D176" s="2"/>
      <c r="E176" s="2"/>
      <c r="F176" s="2"/>
      <c r="G176" s="2"/>
      <c r="H176" s="9"/>
      <c r="I176" s="1"/>
      <c r="J176" s="1"/>
      <c r="K176" s="1"/>
    </row>
    <row r="177" spans="1:11" ht="15.75" customHeight="1">
      <c r="A177" s="1"/>
      <c r="B177" s="1"/>
      <c r="C177" s="2"/>
      <c r="D177" s="2"/>
      <c r="E177" s="2"/>
      <c r="F177" s="2"/>
      <c r="G177" s="2"/>
      <c r="H177" s="9"/>
      <c r="I177" s="1"/>
      <c r="J177" s="1"/>
      <c r="K177" s="1"/>
    </row>
    <row r="178" spans="1:11" ht="15.75" customHeight="1">
      <c r="A178" s="1"/>
      <c r="B178" s="1"/>
      <c r="C178" s="2"/>
      <c r="D178" s="2"/>
      <c r="E178" s="2"/>
      <c r="F178" s="2"/>
      <c r="G178" s="2"/>
      <c r="H178" s="9"/>
      <c r="I178" s="1"/>
      <c r="J178" s="1"/>
      <c r="K178" s="1"/>
    </row>
    <row r="179" spans="1:11" ht="15.75" customHeight="1">
      <c r="A179" s="1"/>
      <c r="B179" s="1"/>
      <c r="C179" s="2"/>
      <c r="D179" s="2"/>
      <c r="E179" s="2"/>
      <c r="F179" s="2"/>
      <c r="G179" s="2"/>
      <c r="H179" s="9"/>
      <c r="I179" s="1"/>
      <c r="J179" s="1"/>
      <c r="K179" s="1"/>
    </row>
    <row r="180" spans="1:11" ht="15.75" customHeight="1">
      <c r="A180" s="1"/>
      <c r="B180" s="1"/>
      <c r="C180" s="2"/>
      <c r="D180" s="2"/>
      <c r="E180" s="2"/>
      <c r="F180" s="2"/>
      <c r="G180" s="2"/>
      <c r="H180" s="9"/>
      <c r="I180" s="1"/>
      <c r="J180" s="1"/>
      <c r="K180" s="1"/>
    </row>
    <row r="181" spans="1:11" ht="15.75" customHeight="1">
      <c r="A181" s="1"/>
      <c r="B181" s="1"/>
      <c r="C181" s="2"/>
      <c r="D181" s="2"/>
      <c r="E181" s="2"/>
      <c r="F181" s="2"/>
      <c r="G181" s="2"/>
      <c r="H181" s="9"/>
      <c r="I181" s="1"/>
      <c r="J181" s="1"/>
      <c r="K181" s="1"/>
    </row>
    <row r="182" spans="1:11" ht="15.75" customHeight="1">
      <c r="A182" s="1"/>
      <c r="B182" s="1"/>
      <c r="C182" s="2"/>
      <c r="D182" s="2"/>
      <c r="E182" s="2"/>
      <c r="F182" s="2"/>
      <c r="G182" s="2"/>
      <c r="H182" s="9"/>
      <c r="I182" s="1"/>
      <c r="J182" s="1"/>
      <c r="K182" s="1"/>
    </row>
    <row r="183" spans="1:11" ht="15.75" customHeight="1">
      <c r="A183" s="1"/>
      <c r="B183" s="1"/>
      <c r="C183" s="2"/>
      <c r="D183" s="2"/>
      <c r="E183" s="2"/>
      <c r="F183" s="2"/>
      <c r="G183" s="2"/>
      <c r="H183" s="9"/>
      <c r="I183" s="1"/>
      <c r="J183" s="1"/>
      <c r="K183" s="1"/>
    </row>
    <row r="184" spans="1:11" ht="15.75" customHeight="1">
      <c r="A184" s="1"/>
      <c r="B184" s="1"/>
      <c r="C184" s="2"/>
      <c r="D184" s="2"/>
      <c r="E184" s="2"/>
      <c r="F184" s="2"/>
      <c r="G184" s="2"/>
      <c r="H184" s="9"/>
      <c r="I184" s="1"/>
      <c r="J184" s="1"/>
      <c r="K184" s="1"/>
    </row>
    <row r="185" spans="1:11" ht="15.75" customHeight="1">
      <c r="A185" s="1"/>
      <c r="B185" s="1"/>
      <c r="C185" s="2"/>
      <c r="D185" s="2"/>
      <c r="E185" s="2"/>
      <c r="F185" s="2"/>
      <c r="G185" s="2"/>
      <c r="H185" s="9"/>
      <c r="I185" s="1"/>
      <c r="J185" s="1"/>
      <c r="K185" s="1"/>
    </row>
    <row r="186" spans="1:11" ht="15.75" customHeight="1">
      <c r="A186" s="1"/>
      <c r="B186" s="1"/>
      <c r="C186" s="2"/>
      <c r="D186" s="2"/>
      <c r="E186" s="2"/>
      <c r="F186" s="2"/>
      <c r="G186" s="2"/>
      <c r="H186" s="9"/>
      <c r="I186" s="1"/>
      <c r="J186" s="1"/>
      <c r="K186" s="1"/>
    </row>
    <row r="187" spans="1:11" ht="15.75" customHeight="1">
      <c r="A187" s="1"/>
      <c r="B187" s="1"/>
      <c r="C187" s="2"/>
      <c r="D187" s="2"/>
      <c r="E187" s="2"/>
      <c r="F187" s="2"/>
      <c r="G187" s="2"/>
      <c r="H187" s="9"/>
      <c r="I187" s="1"/>
      <c r="J187" s="1"/>
      <c r="K187" s="1"/>
    </row>
    <row r="188" spans="1:11" ht="15.75" customHeight="1">
      <c r="A188" s="1"/>
      <c r="B188" s="1"/>
      <c r="C188" s="2"/>
      <c r="D188" s="2"/>
      <c r="E188" s="2"/>
      <c r="F188" s="2"/>
      <c r="G188" s="2"/>
      <c r="H188" s="9"/>
      <c r="I188" s="1"/>
      <c r="J188" s="1"/>
      <c r="K188" s="1"/>
    </row>
    <row r="189" spans="1:11" ht="15.75" customHeight="1">
      <c r="A189" s="1"/>
      <c r="B189" s="1"/>
      <c r="C189" s="2"/>
      <c r="D189" s="2"/>
      <c r="E189" s="2"/>
      <c r="F189" s="2"/>
      <c r="G189" s="2"/>
      <c r="H189" s="9"/>
      <c r="I189" s="1"/>
      <c r="J189" s="1"/>
      <c r="K189" s="1"/>
    </row>
    <row r="190" spans="1:11" ht="15.75" customHeight="1">
      <c r="A190" s="1"/>
      <c r="B190" s="1"/>
      <c r="C190" s="2"/>
      <c r="D190" s="2"/>
      <c r="E190" s="2"/>
      <c r="F190" s="2"/>
      <c r="G190" s="2"/>
      <c r="H190" s="9"/>
      <c r="I190" s="1"/>
      <c r="J190" s="1"/>
      <c r="K190" s="1"/>
    </row>
    <row r="191" spans="1:11" ht="15.75" customHeight="1">
      <c r="A191" s="1"/>
      <c r="B191" s="1"/>
      <c r="C191" s="2"/>
      <c r="D191" s="2"/>
      <c r="E191" s="2"/>
      <c r="F191" s="2"/>
      <c r="G191" s="2"/>
      <c r="H191" s="9"/>
      <c r="I191" s="1"/>
      <c r="J191" s="1"/>
      <c r="K191" s="1"/>
    </row>
    <row r="192" spans="1:11" ht="15.75" customHeight="1">
      <c r="A192" s="1"/>
      <c r="B192" s="1"/>
      <c r="C192" s="2"/>
      <c r="D192" s="2"/>
      <c r="E192" s="2"/>
      <c r="F192" s="2"/>
      <c r="G192" s="2"/>
      <c r="H192" s="9"/>
      <c r="I192" s="1"/>
      <c r="J192" s="1"/>
      <c r="K192" s="1"/>
    </row>
    <row r="193" spans="1:11" ht="15.75" customHeight="1">
      <c r="A193" s="1"/>
      <c r="B193" s="1"/>
      <c r="C193" s="2"/>
      <c r="D193" s="2"/>
      <c r="E193" s="2"/>
      <c r="F193" s="2"/>
      <c r="G193" s="2"/>
      <c r="H193" s="9"/>
      <c r="I193" s="1"/>
      <c r="J193" s="1"/>
      <c r="K193" s="1"/>
    </row>
    <row r="194" spans="1:11" ht="15.75" customHeight="1">
      <c r="A194" s="1"/>
      <c r="B194" s="1"/>
      <c r="C194" s="2"/>
      <c r="D194" s="2"/>
      <c r="E194" s="2"/>
      <c r="F194" s="2"/>
      <c r="G194" s="2"/>
      <c r="H194" s="9"/>
      <c r="I194" s="1"/>
      <c r="J194" s="1"/>
      <c r="K194" s="1"/>
    </row>
    <row r="195" spans="1:11" ht="15.75" customHeight="1">
      <c r="A195" s="1"/>
      <c r="B195" s="1"/>
      <c r="C195" s="2"/>
      <c r="D195" s="2"/>
      <c r="E195" s="2"/>
      <c r="F195" s="2"/>
      <c r="G195" s="2"/>
      <c r="H195" s="9"/>
      <c r="I195" s="1"/>
      <c r="J195" s="1"/>
      <c r="K195" s="1"/>
    </row>
    <row r="196" spans="1:11" ht="15.75" customHeight="1">
      <c r="A196" s="1"/>
      <c r="B196" s="1"/>
      <c r="C196" s="2"/>
      <c r="D196" s="2"/>
      <c r="E196" s="2"/>
      <c r="F196" s="2"/>
      <c r="G196" s="2"/>
      <c r="H196" s="9"/>
      <c r="I196" s="1"/>
      <c r="J196" s="1"/>
      <c r="K196" s="1"/>
    </row>
    <row r="197" spans="1:11" ht="15.75" customHeight="1">
      <c r="A197" s="1"/>
      <c r="B197" s="1"/>
      <c r="C197" s="2"/>
      <c r="D197" s="2"/>
      <c r="E197" s="2"/>
      <c r="F197" s="2"/>
      <c r="G197" s="2"/>
      <c r="H197" s="9"/>
      <c r="I197" s="1"/>
      <c r="J197" s="1"/>
      <c r="K197" s="1"/>
    </row>
    <row r="198" spans="1:11" ht="15.75" customHeight="1">
      <c r="A198" s="1"/>
      <c r="B198" s="1"/>
      <c r="C198" s="2"/>
      <c r="D198" s="2"/>
      <c r="E198" s="2"/>
      <c r="F198" s="2"/>
      <c r="G198" s="2"/>
      <c r="H198" s="9"/>
      <c r="I198" s="1"/>
      <c r="J198" s="1"/>
      <c r="K198" s="1"/>
    </row>
    <row r="199" spans="1:11" ht="15.75" customHeight="1">
      <c r="A199" s="1"/>
      <c r="B199" s="1"/>
      <c r="C199" s="2"/>
      <c r="D199" s="2"/>
      <c r="E199" s="2"/>
      <c r="F199" s="2"/>
      <c r="G199" s="2"/>
      <c r="H199" s="9"/>
      <c r="I199" s="1"/>
      <c r="J199" s="1"/>
      <c r="K199" s="1"/>
    </row>
    <row r="200" spans="1:11" ht="15.75" customHeight="1">
      <c r="A200" s="1"/>
      <c r="B200" s="1"/>
      <c r="C200" s="2"/>
      <c r="D200" s="2"/>
      <c r="E200" s="2"/>
      <c r="F200" s="2"/>
      <c r="G200" s="2"/>
      <c r="H200" s="9"/>
      <c r="I200" s="1"/>
      <c r="J200" s="1"/>
      <c r="K200" s="1"/>
    </row>
    <row r="201" spans="1:11" ht="15.75" customHeight="1">
      <c r="A201" s="1"/>
      <c r="B201" s="1"/>
      <c r="C201" s="2"/>
      <c r="D201" s="2"/>
      <c r="E201" s="2"/>
      <c r="F201" s="2"/>
      <c r="G201" s="2"/>
      <c r="H201" s="9"/>
      <c r="I201" s="1"/>
      <c r="J201" s="1"/>
      <c r="K201" s="1"/>
    </row>
    <row r="202" spans="1:11" ht="15.75" customHeight="1">
      <c r="A202" s="1"/>
      <c r="B202" s="1"/>
      <c r="C202" s="2"/>
      <c r="D202" s="2"/>
      <c r="E202" s="2"/>
      <c r="F202" s="2"/>
      <c r="G202" s="2"/>
      <c r="H202" s="9"/>
      <c r="I202" s="1"/>
      <c r="J202" s="1"/>
      <c r="K202" s="1"/>
    </row>
    <row r="203" spans="1:11" ht="15.75" customHeight="1">
      <c r="A203" s="1"/>
      <c r="B203" s="1"/>
      <c r="C203" s="2"/>
      <c r="D203" s="2"/>
      <c r="E203" s="2"/>
      <c r="F203" s="2"/>
      <c r="G203" s="2"/>
      <c r="H203" s="9"/>
      <c r="I203" s="1"/>
      <c r="J203" s="1"/>
      <c r="K203" s="1"/>
    </row>
    <row r="204" spans="1:11" ht="15.75" customHeight="1">
      <c r="A204" s="1"/>
      <c r="B204" s="1"/>
      <c r="C204" s="2"/>
      <c r="D204" s="2"/>
      <c r="E204" s="2"/>
      <c r="F204" s="2"/>
      <c r="G204" s="2"/>
      <c r="H204" s="9"/>
      <c r="I204" s="1"/>
      <c r="J204" s="1"/>
      <c r="K204" s="1"/>
    </row>
    <row r="205" spans="1:11" ht="15.75" customHeight="1">
      <c r="A205" s="1"/>
      <c r="B205" s="1"/>
      <c r="C205" s="2"/>
      <c r="D205" s="2"/>
      <c r="E205" s="2"/>
      <c r="F205" s="2"/>
      <c r="G205" s="2"/>
      <c r="H205" s="9"/>
      <c r="I205" s="1"/>
      <c r="J205" s="1"/>
      <c r="K205" s="1"/>
    </row>
    <row r="206" spans="1:11" ht="15.75" customHeight="1">
      <c r="A206" s="1"/>
      <c r="B206" s="1"/>
      <c r="C206" s="2"/>
      <c r="D206" s="2"/>
      <c r="E206" s="2"/>
      <c r="F206" s="2"/>
      <c r="G206" s="2"/>
      <c r="H206" s="9"/>
      <c r="I206" s="1"/>
      <c r="J206" s="1"/>
      <c r="K206" s="1"/>
    </row>
    <row r="207" spans="1:11" ht="15.75" customHeight="1">
      <c r="A207" s="1"/>
      <c r="B207" s="1"/>
      <c r="C207" s="2"/>
      <c r="D207" s="2"/>
      <c r="E207" s="2"/>
      <c r="F207" s="2"/>
      <c r="G207" s="2"/>
      <c r="H207" s="9"/>
      <c r="I207" s="1"/>
      <c r="J207" s="1"/>
      <c r="K207" s="1"/>
    </row>
    <row r="208" spans="1:11" ht="15.75" customHeight="1">
      <c r="A208" s="1"/>
      <c r="B208" s="1"/>
      <c r="C208" s="2"/>
      <c r="D208" s="2"/>
      <c r="E208" s="2"/>
      <c r="F208" s="2"/>
      <c r="G208" s="2"/>
      <c r="H208" s="9"/>
      <c r="I208" s="1"/>
      <c r="J208" s="1"/>
      <c r="K208" s="1"/>
    </row>
    <row r="209" spans="1:11" ht="15.75" customHeight="1">
      <c r="A209" s="1"/>
      <c r="B209" s="1"/>
      <c r="C209" s="2"/>
      <c r="D209" s="2"/>
      <c r="E209" s="2"/>
      <c r="F209" s="2"/>
      <c r="G209" s="2"/>
      <c r="H209" s="9"/>
      <c r="I209" s="1"/>
      <c r="J209" s="1"/>
      <c r="K209" s="1"/>
    </row>
    <row r="210" spans="1:11" ht="15.75" customHeight="1">
      <c r="A210" s="1"/>
      <c r="B210" s="1"/>
      <c r="C210" s="2"/>
      <c r="D210" s="2"/>
      <c r="E210" s="2"/>
      <c r="F210" s="2"/>
      <c r="G210" s="2"/>
      <c r="H210" s="9"/>
      <c r="I210" s="1"/>
      <c r="J210" s="1"/>
      <c r="K210" s="1"/>
    </row>
    <row r="211" spans="1:11" ht="15.75" customHeight="1">
      <c r="A211" s="1"/>
      <c r="B211" s="1"/>
      <c r="C211" s="2"/>
      <c r="D211" s="2"/>
      <c r="E211" s="2"/>
      <c r="F211" s="2"/>
      <c r="G211" s="2"/>
      <c r="H211" s="9"/>
      <c r="I211" s="1"/>
      <c r="J211" s="1"/>
      <c r="K211" s="1"/>
    </row>
    <row r="212" spans="1:11" ht="15.75" customHeight="1">
      <c r="A212" s="1"/>
      <c r="B212" s="1"/>
      <c r="C212" s="2"/>
      <c r="D212" s="2"/>
      <c r="E212" s="2"/>
      <c r="F212" s="2"/>
      <c r="G212" s="2"/>
      <c r="H212" s="9"/>
      <c r="I212" s="1"/>
      <c r="J212" s="1"/>
      <c r="K212" s="1"/>
    </row>
    <row r="213" spans="1:11" ht="15.75" customHeight="1">
      <c r="A213" s="1"/>
      <c r="B213" s="1"/>
      <c r="C213" s="2"/>
      <c r="D213" s="2"/>
      <c r="E213" s="2"/>
      <c r="F213" s="2"/>
      <c r="G213" s="2"/>
      <c r="H213" s="9"/>
      <c r="I213" s="1"/>
      <c r="J213" s="1"/>
      <c r="K213" s="1"/>
    </row>
    <row r="214" spans="1:11" ht="15.75" customHeight="1">
      <c r="A214" s="1"/>
      <c r="B214" s="1"/>
      <c r="C214" s="2"/>
      <c r="D214" s="2"/>
      <c r="E214" s="2"/>
      <c r="F214" s="2"/>
      <c r="G214" s="2"/>
      <c r="H214" s="9"/>
      <c r="I214" s="1"/>
      <c r="J214" s="1"/>
      <c r="K214" s="1"/>
    </row>
    <row r="215" spans="1:11" ht="15.75" customHeight="1">
      <c r="A215" s="1"/>
      <c r="B215" s="1"/>
      <c r="C215" s="2"/>
      <c r="D215" s="2"/>
      <c r="E215" s="2"/>
      <c r="F215" s="2"/>
      <c r="G215" s="2"/>
      <c r="H215" s="9"/>
      <c r="I215" s="1"/>
      <c r="J215" s="1"/>
      <c r="K215" s="1"/>
    </row>
    <row r="216" spans="1:11" ht="15.75" customHeight="1">
      <c r="A216" s="1"/>
      <c r="B216" s="1"/>
      <c r="C216" s="2"/>
      <c r="D216" s="2"/>
      <c r="E216" s="2"/>
      <c r="F216" s="2"/>
      <c r="G216" s="2"/>
      <c r="H216" s="9"/>
      <c r="I216" s="1"/>
      <c r="J216" s="1"/>
      <c r="K216" s="1"/>
    </row>
    <row r="217" spans="1:11" ht="15.75" customHeight="1">
      <c r="A217" s="1"/>
      <c r="B217" s="1"/>
      <c r="C217" s="2"/>
      <c r="D217" s="2"/>
      <c r="E217" s="2"/>
      <c r="F217" s="2"/>
      <c r="G217" s="2"/>
      <c r="H217" s="9"/>
      <c r="I217" s="1"/>
      <c r="J217" s="1"/>
      <c r="K217" s="1"/>
    </row>
    <row r="218" spans="1:11" ht="15.75" customHeight="1">
      <c r="A218" s="1"/>
      <c r="B218" s="1"/>
      <c r="C218" s="2"/>
      <c r="D218" s="2"/>
      <c r="E218" s="2"/>
      <c r="F218" s="2"/>
      <c r="G218" s="2"/>
      <c r="H218" s="9"/>
      <c r="I218" s="1"/>
      <c r="J218" s="1"/>
      <c r="K218" s="1"/>
    </row>
    <row r="219" spans="1:11" ht="15.75" customHeight="1">
      <c r="A219" s="1"/>
      <c r="B219" s="1"/>
      <c r="C219" s="2"/>
      <c r="D219" s="2"/>
      <c r="E219" s="2"/>
      <c r="F219" s="2"/>
      <c r="G219" s="2"/>
      <c r="H219" s="9"/>
      <c r="I219" s="1"/>
      <c r="J219" s="1"/>
      <c r="K219" s="1"/>
    </row>
    <row r="220" spans="1:11" ht="15.75" customHeight="1">
      <c r="A220" s="1"/>
      <c r="B220" s="1"/>
      <c r="C220" s="2"/>
      <c r="D220" s="2"/>
      <c r="E220" s="2"/>
      <c r="F220" s="2"/>
      <c r="G220" s="2"/>
      <c r="H220" s="9"/>
      <c r="I220" s="1"/>
      <c r="J220" s="1"/>
      <c r="K220" s="1"/>
    </row>
    <row r="221" spans="1:11" ht="15.75" customHeight="1">
      <c r="A221" s="1"/>
      <c r="B221" s="1"/>
      <c r="C221" s="2"/>
      <c r="D221" s="2"/>
      <c r="E221" s="2"/>
      <c r="F221" s="2"/>
      <c r="G221" s="2"/>
      <c r="H221" s="9"/>
      <c r="I221" s="1"/>
      <c r="J221" s="1"/>
      <c r="K221" s="1"/>
    </row>
    <row r="222" spans="1:11" ht="15.75" customHeight="1">
      <c r="A222" s="1"/>
      <c r="B222" s="1"/>
      <c r="C222" s="2"/>
      <c r="D222" s="2"/>
      <c r="E222" s="2"/>
      <c r="F222" s="2"/>
      <c r="G222" s="2"/>
      <c r="H222" s="9"/>
      <c r="I222" s="1"/>
      <c r="J222" s="1"/>
      <c r="K222" s="1"/>
    </row>
    <row r="223" spans="1:11" ht="15.75" customHeight="1">
      <c r="A223" s="1"/>
      <c r="B223" s="1"/>
      <c r="C223" s="2"/>
      <c r="D223" s="2"/>
      <c r="E223" s="2"/>
      <c r="F223" s="2"/>
      <c r="G223" s="2"/>
      <c r="H223" s="9"/>
      <c r="I223" s="1"/>
      <c r="J223" s="1"/>
      <c r="K223" s="1"/>
    </row>
    <row r="224" spans="1:11" ht="15.75" customHeight="1">
      <c r="A224" s="1"/>
      <c r="B224" s="1"/>
      <c r="C224" s="2"/>
      <c r="D224" s="2"/>
      <c r="E224" s="2"/>
      <c r="F224" s="2"/>
      <c r="G224" s="2"/>
      <c r="H224" s="9"/>
      <c r="I224" s="1"/>
      <c r="J224" s="1"/>
      <c r="K224" s="1"/>
    </row>
    <row r="225" spans="1:11" ht="15.75" customHeight="1">
      <c r="A225" s="1"/>
      <c r="B225" s="1"/>
      <c r="C225" s="2"/>
      <c r="D225" s="2"/>
      <c r="E225" s="2"/>
      <c r="F225" s="2"/>
      <c r="G225" s="2"/>
      <c r="H225" s="9"/>
      <c r="I225" s="1"/>
      <c r="J225" s="1"/>
      <c r="K225" s="1"/>
    </row>
    <row r="226" spans="1:11" ht="15.75" customHeight="1">
      <c r="A226" s="1"/>
      <c r="B226" s="1"/>
      <c r="C226" s="2"/>
      <c r="D226" s="2"/>
      <c r="E226" s="2"/>
      <c r="F226" s="2"/>
      <c r="G226" s="2"/>
      <c r="H226" s="9"/>
      <c r="I226" s="1"/>
      <c r="J226" s="1"/>
      <c r="K226" s="1"/>
    </row>
    <row r="227" spans="1:11" ht="15.75" customHeight="1">
      <c r="A227" s="1"/>
      <c r="B227" s="1"/>
      <c r="C227" s="2"/>
      <c r="D227" s="2"/>
      <c r="E227" s="2"/>
      <c r="F227" s="2"/>
      <c r="G227" s="2"/>
      <c r="H227" s="9"/>
      <c r="I227" s="1"/>
      <c r="J227" s="1"/>
      <c r="K227" s="1"/>
    </row>
    <row r="228" spans="1:11" ht="15.75" customHeight="1">
      <c r="A228" s="1"/>
      <c r="B228" s="1"/>
      <c r="C228" s="2"/>
      <c r="D228" s="2"/>
      <c r="E228" s="2"/>
      <c r="F228" s="2"/>
      <c r="G228" s="2"/>
      <c r="H228" s="9"/>
      <c r="I228" s="1"/>
      <c r="J228" s="1"/>
      <c r="K228" s="1"/>
    </row>
    <row r="229" spans="1:11" ht="15.75" customHeight="1">
      <c r="A229" s="1"/>
      <c r="B229" s="1"/>
      <c r="C229" s="2"/>
      <c r="D229" s="2"/>
      <c r="E229" s="2"/>
      <c r="F229" s="2"/>
      <c r="G229" s="2"/>
      <c r="H229" s="9"/>
      <c r="I229" s="1"/>
      <c r="J229" s="1"/>
      <c r="K229" s="1"/>
    </row>
    <row r="230" spans="1:11" ht="15.75" customHeight="1">
      <c r="A230" s="1"/>
      <c r="B230" s="1"/>
      <c r="C230" s="2"/>
      <c r="D230" s="2"/>
      <c r="E230" s="2"/>
      <c r="F230" s="2"/>
      <c r="G230" s="2"/>
      <c r="H230" s="9"/>
      <c r="I230" s="1"/>
      <c r="J230" s="1"/>
      <c r="K230" s="1"/>
    </row>
    <row r="231" spans="1:11" ht="15.75" customHeight="1">
      <c r="A231" s="1"/>
      <c r="B231" s="1"/>
      <c r="C231" s="2"/>
      <c r="D231" s="2"/>
      <c r="E231" s="2"/>
      <c r="F231" s="2"/>
      <c r="G231" s="2"/>
      <c r="H231" s="9"/>
      <c r="I231" s="1"/>
      <c r="J231" s="1"/>
      <c r="K231" s="1"/>
    </row>
    <row r="232" spans="1:11" ht="15.75" customHeight="1">
      <c r="A232" s="1"/>
      <c r="B232" s="1"/>
      <c r="C232" s="2"/>
      <c r="D232" s="2"/>
      <c r="E232" s="2"/>
      <c r="F232" s="2"/>
      <c r="G232" s="2"/>
      <c r="H232" s="9"/>
      <c r="I232" s="1"/>
      <c r="J232" s="1"/>
      <c r="K232" s="1"/>
    </row>
    <row r="233" spans="1:11" ht="15.75" customHeight="1">
      <c r="A233" s="1"/>
      <c r="B233" s="1"/>
      <c r="C233" s="2"/>
      <c r="D233" s="2"/>
      <c r="E233" s="2"/>
      <c r="F233" s="2"/>
      <c r="G233" s="2"/>
      <c r="H233" s="9"/>
      <c r="I233" s="1"/>
      <c r="J233" s="1"/>
      <c r="K233" s="1"/>
    </row>
    <row r="234" spans="1:11" ht="15.75" customHeight="1">
      <c r="A234" s="1"/>
      <c r="B234" s="1"/>
      <c r="C234" s="2"/>
      <c r="D234" s="2"/>
      <c r="E234" s="2"/>
      <c r="F234" s="2"/>
      <c r="G234" s="2"/>
      <c r="H234" s="9"/>
      <c r="I234" s="1"/>
      <c r="J234" s="1"/>
      <c r="K234" s="1"/>
    </row>
    <row r="235" spans="1:11" ht="15.75" customHeight="1">
      <c r="A235" s="1"/>
      <c r="B235" s="1"/>
      <c r="C235" s="2"/>
      <c r="D235" s="2"/>
      <c r="E235" s="2"/>
      <c r="F235" s="2"/>
      <c r="G235" s="2"/>
      <c r="H235" s="9"/>
      <c r="I235" s="1"/>
      <c r="J235" s="1"/>
      <c r="K235" s="1"/>
    </row>
    <row r="236" spans="1:11" ht="15.75" customHeight="1">
      <c r="A236" s="1"/>
      <c r="B236" s="1"/>
      <c r="C236" s="2"/>
      <c r="D236" s="2"/>
      <c r="E236" s="2"/>
      <c r="F236" s="2"/>
      <c r="G236" s="2"/>
      <c r="H236" s="9"/>
      <c r="I236" s="1"/>
      <c r="J236" s="1"/>
      <c r="K236" s="1"/>
    </row>
    <row r="237" spans="1:11" ht="15.75" customHeight="1">
      <c r="A237" s="1"/>
      <c r="B237" s="1"/>
      <c r="C237" s="2"/>
      <c r="D237" s="2"/>
      <c r="E237" s="2"/>
      <c r="F237" s="2"/>
      <c r="G237" s="2"/>
      <c r="H237" s="9"/>
      <c r="I237" s="1"/>
      <c r="J237" s="1"/>
      <c r="K237" s="1"/>
    </row>
    <row r="238" spans="1:11" ht="15.75" customHeight="1">
      <c r="A238" s="1"/>
      <c r="B238" s="1"/>
      <c r="C238" s="2"/>
      <c r="D238" s="2"/>
      <c r="E238" s="2"/>
      <c r="F238" s="2"/>
      <c r="G238" s="2"/>
      <c r="H238" s="9"/>
      <c r="I238" s="1"/>
      <c r="J238" s="1"/>
      <c r="K238" s="1"/>
    </row>
    <row r="239" spans="1:11" ht="15.75" customHeight="1">
      <c r="A239" s="1"/>
      <c r="B239" s="1"/>
      <c r="C239" s="2"/>
      <c r="D239" s="2"/>
      <c r="E239" s="2"/>
      <c r="F239" s="2"/>
      <c r="G239" s="2"/>
      <c r="H239" s="9"/>
      <c r="I239" s="1"/>
      <c r="J239" s="1"/>
      <c r="K239" s="1"/>
    </row>
    <row r="240" spans="1:11" ht="15.75" customHeight="1">
      <c r="A240" s="1"/>
      <c r="B240" s="1"/>
      <c r="C240" s="2"/>
      <c r="D240" s="2"/>
      <c r="E240" s="2"/>
      <c r="F240" s="2"/>
      <c r="G240" s="2"/>
      <c r="H240" s="9"/>
      <c r="I240" s="1"/>
      <c r="J240" s="1"/>
      <c r="K240" s="1"/>
    </row>
    <row r="241" spans="1:11" ht="15.75" customHeight="1">
      <c r="A241" s="1"/>
      <c r="B241" s="1"/>
      <c r="C241" s="2"/>
      <c r="D241" s="2"/>
      <c r="E241" s="2"/>
      <c r="F241" s="2"/>
      <c r="G241" s="2"/>
      <c r="H241" s="9"/>
      <c r="I241" s="1"/>
      <c r="J241" s="1"/>
      <c r="K241" s="1"/>
    </row>
    <row r="242" spans="1:11" ht="15.75" customHeight="1">
      <c r="A242" s="1"/>
      <c r="B242" s="1"/>
      <c r="C242" s="2"/>
      <c r="D242" s="2"/>
      <c r="E242" s="2"/>
      <c r="F242" s="2"/>
      <c r="G242" s="2"/>
      <c r="H242" s="9"/>
      <c r="I242" s="1"/>
      <c r="J242" s="1"/>
      <c r="K242" s="1"/>
    </row>
    <row r="243" spans="1:11" ht="15.75" customHeight="1">
      <c r="A243" s="1"/>
      <c r="B243" s="1"/>
      <c r="C243" s="2"/>
      <c r="D243" s="2"/>
      <c r="E243" s="2"/>
      <c r="F243" s="2"/>
      <c r="G243" s="2"/>
      <c r="H243" s="9"/>
      <c r="I243" s="1"/>
      <c r="J243" s="1"/>
      <c r="K243" s="1"/>
    </row>
    <row r="244" spans="1:11" ht="15.75" customHeight="1">
      <c r="A244" s="1"/>
      <c r="B244" s="1"/>
      <c r="C244" s="2"/>
      <c r="D244" s="2"/>
      <c r="E244" s="2"/>
      <c r="F244" s="2"/>
      <c r="G244" s="2"/>
      <c r="H244" s="9"/>
      <c r="I244" s="1"/>
      <c r="J244" s="1"/>
      <c r="K244" s="1"/>
    </row>
    <row r="245" spans="1:11" ht="15.75" customHeight="1">
      <c r="A245" s="1"/>
      <c r="B245" s="1"/>
      <c r="C245" s="2"/>
      <c r="D245" s="2"/>
      <c r="E245" s="2"/>
      <c r="F245" s="2"/>
      <c r="G245" s="2"/>
      <c r="H245" s="9"/>
      <c r="I245" s="1"/>
      <c r="J245" s="1"/>
      <c r="K245" s="1"/>
    </row>
    <row r="246" spans="1:11" ht="15.75" customHeight="1">
      <c r="A246" s="1"/>
      <c r="B246" s="1"/>
      <c r="C246" s="2"/>
      <c r="D246" s="2"/>
      <c r="E246" s="2"/>
      <c r="F246" s="2"/>
      <c r="G246" s="2"/>
      <c r="H246" s="9"/>
      <c r="I246" s="1"/>
      <c r="J246" s="1"/>
      <c r="K246" s="1"/>
    </row>
    <row r="247" spans="1:11" ht="15.75" customHeight="1">
      <c r="A247" s="1"/>
      <c r="B247" s="1"/>
      <c r="C247" s="2"/>
      <c r="D247" s="2"/>
      <c r="E247" s="2"/>
      <c r="F247" s="2"/>
      <c r="G247" s="2"/>
      <c r="H247" s="9"/>
      <c r="I247" s="1"/>
      <c r="J247" s="1"/>
      <c r="K247" s="1"/>
    </row>
    <row r="248" spans="1:11" ht="15.75" customHeight="1">
      <c r="A248" s="1"/>
      <c r="B248" s="1"/>
      <c r="C248" s="2"/>
      <c r="D248" s="2"/>
      <c r="E248" s="2"/>
      <c r="F248" s="2"/>
      <c r="G248" s="2"/>
      <c r="H248" s="9"/>
      <c r="I248" s="1"/>
      <c r="J248" s="1"/>
      <c r="K248" s="1"/>
    </row>
    <row r="249" spans="1:11" ht="15.75" customHeight="1">
      <c r="A249" s="1"/>
      <c r="B249" s="1"/>
      <c r="C249" s="2"/>
      <c r="D249" s="2"/>
      <c r="E249" s="2"/>
      <c r="F249" s="2"/>
      <c r="G249" s="2"/>
      <c r="H249" s="9"/>
      <c r="I249" s="1"/>
      <c r="J249" s="1"/>
      <c r="K249" s="1"/>
    </row>
    <row r="250" spans="1:11" ht="15.75" customHeight="1">
      <c r="A250" s="1"/>
      <c r="B250" s="1"/>
      <c r="C250" s="2"/>
      <c r="D250" s="2"/>
      <c r="E250" s="2"/>
      <c r="F250" s="2"/>
      <c r="G250" s="2"/>
      <c r="H250" s="9"/>
      <c r="I250" s="1"/>
      <c r="J250" s="1"/>
      <c r="K250" s="1"/>
    </row>
    <row r="251" spans="1:11" ht="15.75" customHeight="1">
      <c r="A251" s="1"/>
      <c r="B251" s="1"/>
      <c r="C251" s="2"/>
      <c r="D251" s="2"/>
      <c r="E251" s="2"/>
      <c r="F251" s="2"/>
      <c r="G251" s="2"/>
      <c r="H251" s="9"/>
      <c r="I251" s="1"/>
      <c r="J251" s="1"/>
      <c r="K251" s="1"/>
    </row>
    <row r="252" spans="1:11" ht="15.75" customHeight="1">
      <c r="A252" s="1"/>
      <c r="B252" s="1"/>
      <c r="C252" s="2"/>
      <c r="D252" s="2"/>
      <c r="E252" s="2"/>
      <c r="F252" s="2"/>
      <c r="G252" s="2"/>
      <c r="H252" s="9"/>
      <c r="I252" s="1"/>
      <c r="J252" s="1"/>
      <c r="K252" s="1"/>
    </row>
    <row r="253" spans="1:11" ht="15.75" customHeight="1">
      <c r="A253" s="1"/>
      <c r="B253" s="1"/>
      <c r="C253" s="2"/>
      <c r="D253" s="2"/>
      <c r="E253" s="2"/>
      <c r="F253" s="2"/>
      <c r="G253" s="2"/>
      <c r="H253" s="9"/>
      <c r="I253" s="1"/>
      <c r="J253" s="1"/>
      <c r="K253" s="1"/>
    </row>
    <row r="254" spans="1:11" ht="15.75" customHeight="1">
      <c r="A254" s="1"/>
      <c r="B254" s="1"/>
      <c r="C254" s="2"/>
      <c r="D254" s="2"/>
      <c r="E254" s="2"/>
      <c r="F254" s="2"/>
      <c r="G254" s="2"/>
      <c r="H254" s="9"/>
      <c r="I254" s="1"/>
      <c r="J254" s="1"/>
      <c r="K254" s="1"/>
    </row>
    <row r="255" spans="1:11" ht="15.75" customHeight="1">
      <c r="A255" s="1"/>
      <c r="B255" s="1"/>
      <c r="C255" s="2"/>
      <c r="D255" s="2"/>
      <c r="E255" s="2"/>
      <c r="F255" s="2"/>
      <c r="G255" s="2"/>
      <c r="H255" s="9"/>
      <c r="I255" s="1"/>
      <c r="J255" s="1"/>
      <c r="K255" s="1"/>
    </row>
    <row r="256" spans="1:11" ht="15.75" customHeight="1">
      <c r="A256" s="1"/>
      <c r="B256" s="1"/>
      <c r="C256" s="2"/>
      <c r="D256" s="2"/>
      <c r="E256" s="2"/>
      <c r="F256" s="2"/>
      <c r="G256" s="2"/>
      <c r="H256" s="9"/>
      <c r="I256" s="1"/>
      <c r="J256" s="1"/>
      <c r="K256" s="1"/>
    </row>
    <row r="257" spans="1:11" ht="15.75" customHeight="1">
      <c r="A257" s="1"/>
      <c r="B257" s="1"/>
      <c r="C257" s="2"/>
      <c r="D257" s="2"/>
      <c r="E257" s="2"/>
      <c r="F257" s="2"/>
      <c r="G257" s="2"/>
      <c r="H257" s="9"/>
      <c r="I257" s="1"/>
      <c r="J257" s="1"/>
      <c r="K257" s="1"/>
    </row>
    <row r="258" spans="1:11" ht="15.75" customHeight="1">
      <c r="A258" s="1"/>
      <c r="B258" s="1"/>
      <c r="C258" s="2"/>
      <c r="D258" s="2"/>
      <c r="E258" s="2"/>
      <c r="F258" s="2"/>
      <c r="G258" s="2"/>
      <c r="H258" s="9"/>
      <c r="I258" s="1"/>
      <c r="J258" s="1"/>
      <c r="K258" s="1"/>
    </row>
    <row r="259" spans="1:11" ht="15.75" customHeight="1">
      <c r="A259" s="1"/>
      <c r="B259" s="1"/>
      <c r="C259" s="2"/>
      <c r="D259" s="2"/>
      <c r="E259" s="2"/>
      <c r="F259" s="2"/>
      <c r="G259" s="2"/>
      <c r="H259" s="9"/>
      <c r="I259" s="1"/>
      <c r="J259" s="1"/>
      <c r="K259" s="1"/>
    </row>
    <row r="260" spans="1:11" ht="15.75" customHeight="1"/>
    <row r="261" spans="1:11" ht="15.75" customHeight="1"/>
    <row r="262" spans="1:11" ht="15.75" customHeight="1"/>
    <row r="263" spans="1:11" ht="15.75" customHeight="1"/>
    <row r="264" spans="1:11" ht="15.75" customHeight="1"/>
    <row r="265" spans="1:11" ht="15.75" customHeight="1"/>
    <row r="266" spans="1:11" ht="15.75" customHeight="1"/>
    <row r="267" spans="1:11" ht="15.75" customHeight="1"/>
    <row r="268" spans="1:11" ht="15.75" customHeight="1"/>
    <row r="269" spans="1:11" ht="15.75" customHeight="1"/>
    <row r="270" spans="1:11" ht="15.75" customHeight="1"/>
    <row r="271" spans="1:11" ht="15.75" customHeight="1"/>
    <row r="272" spans="1:11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4">
    <mergeCell ref="I32:K32"/>
    <mergeCell ref="I33:K33"/>
    <mergeCell ref="I34:K34"/>
    <mergeCell ref="I27:K27"/>
    <mergeCell ref="I28:K28"/>
    <mergeCell ref="I29:K29"/>
    <mergeCell ref="I30:K30"/>
    <mergeCell ref="I31:K31"/>
    <mergeCell ref="I22:K22"/>
    <mergeCell ref="I23:K23"/>
    <mergeCell ref="I24:K24"/>
    <mergeCell ref="I25:K25"/>
    <mergeCell ref="I26:K26"/>
    <mergeCell ref="I17:K17"/>
    <mergeCell ref="I18:K18"/>
    <mergeCell ref="I19:K19"/>
    <mergeCell ref="I20:K20"/>
    <mergeCell ref="I21:K21"/>
    <mergeCell ref="I12:K12"/>
    <mergeCell ref="I13:K13"/>
    <mergeCell ref="I14:K14"/>
    <mergeCell ref="I15:K15"/>
    <mergeCell ref="I16:K16"/>
    <mergeCell ref="H7:H8"/>
    <mergeCell ref="I7:K8"/>
    <mergeCell ref="I9:K9"/>
    <mergeCell ref="I10:K10"/>
    <mergeCell ref="I11:K11"/>
    <mergeCell ref="B2:D5"/>
    <mergeCell ref="E2:H3"/>
    <mergeCell ref="I2:K3"/>
    <mergeCell ref="E4:H4"/>
    <mergeCell ref="I4:K6"/>
    <mergeCell ref="F6:H6"/>
    <mergeCell ref="C53:D53"/>
    <mergeCell ref="B6:D6"/>
    <mergeCell ref="C7:D7"/>
    <mergeCell ref="E7:F8"/>
    <mergeCell ref="G7:G8"/>
    <mergeCell ref="B7:B8"/>
    <mergeCell ref="C58:D58"/>
    <mergeCell ref="E58:G58"/>
    <mergeCell ref="H58:I58"/>
    <mergeCell ref="J58:K58"/>
    <mergeCell ref="C59:D59"/>
    <mergeCell ref="E59:G59"/>
    <mergeCell ref="H59:I59"/>
    <mergeCell ref="J59:K59"/>
    <mergeCell ref="H40:K40"/>
    <mergeCell ref="H41:K43"/>
    <mergeCell ref="E53:G53"/>
    <mergeCell ref="H53:I53"/>
    <mergeCell ref="J53:K53"/>
    <mergeCell ref="H45:H46"/>
    <mergeCell ref="I47:J47"/>
    <mergeCell ref="I48:J48"/>
    <mergeCell ref="I49:J49"/>
    <mergeCell ref="I50:J50"/>
    <mergeCell ref="I51:J51"/>
    <mergeCell ref="I35:K35"/>
    <mergeCell ref="I36:K36"/>
    <mergeCell ref="I37:K37"/>
    <mergeCell ref="I38:K38"/>
    <mergeCell ref="B39:F39"/>
  </mergeCells>
  <pageMargins left="0.7" right="0.7" top="0.75" bottom="0.75" header="0" footer="0"/>
  <pageSetup paperSize="9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24 Juli - 23 Agustus 2026</vt:lpstr>
      <vt:lpstr>12 Juli - 11 Agustus 2023</vt:lpstr>
      <vt:lpstr>12 September - 11 Oktober 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ALIF ATHALLAH</dc:creator>
  <cp:lastModifiedBy>Anggit Ari Utomo</cp:lastModifiedBy>
  <cp:lastPrinted>2026-07-24T01:13:51Z</cp:lastPrinted>
  <dcterms:created xsi:type="dcterms:W3CDTF">2025-01-15T07:56:02Z</dcterms:created>
  <dcterms:modified xsi:type="dcterms:W3CDTF">2026-08-07T10:06:17Z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a4fdcb616a764a9cbe69a4e8be0aaea9</vt:lpwstr>
  </property>
</Properties>
</file>