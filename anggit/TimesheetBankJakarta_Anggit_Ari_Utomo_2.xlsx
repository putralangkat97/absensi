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anggit\absen\"/>
    </mc:Choice>
  </mc:AlternateContent>
  <xr:revisionPtr revIDLastSave="0" documentId="13_ncr:1_{A6FA1D2B-64A5-4098-BA48-9EEE7F6782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4 Juli - 23 Agustus 2026" sheetId="1" r:id="rId1"/>
    <sheet name="12 Juli - 11 Agustus 2023" sheetId="3" state="hidden" r:id="rId2"/>
    <sheet name="12 September - 11 Oktober 2023" sheetId="5" state="hidden" r:id="rId3"/>
  </sheets>
  <calcPr calcId="191029"/>
</workbook>
</file>

<file path=xl/calcChain.xml><?xml version="1.0" encoding="utf-8"?>
<calcChain xmlns="http://schemas.openxmlformats.org/spreadsheetml/2006/main">
  <c r="G37" i="1" l="1"/>
  <c r="G36" i="1"/>
  <c r="G35" i="1"/>
  <c r="G34" i="1"/>
  <c r="G30" i="1"/>
  <c r="G29" i="1"/>
  <c r="G28" i="1"/>
  <c r="G27" i="1"/>
  <c r="G26" i="1"/>
  <c r="G23" i="1"/>
  <c r="G22" i="1"/>
  <c r="G21" i="1"/>
  <c r="G20" i="1"/>
  <c r="G19" i="1"/>
  <c r="G12" i="1"/>
  <c r="G13" i="1"/>
  <c r="G14" i="1"/>
  <c r="G15" i="1"/>
  <c r="G16" i="1"/>
  <c r="G9" i="1"/>
  <c r="G47" i="5"/>
  <c r="G39" i="5"/>
  <c r="G50" i="5" s="1"/>
  <c r="G51" i="5" s="1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52" i="3"/>
  <c r="G51" i="3"/>
  <c r="G50" i="3"/>
  <c r="G48" i="3"/>
  <c r="G40" i="3"/>
  <c r="G53" i="1"/>
  <c r="G51" i="1"/>
  <c r="G43" i="1" l="1"/>
  <c r="G54" i="1" s="1"/>
  <c r="G55" i="1" s="1"/>
</calcChain>
</file>

<file path=xl/sharedStrings.xml><?xml version="1.0" encoding="utf-8"?>
<sst xmlns="http://schemas.openxmlformats.org/spreadsheetml/2006/main" count="383" uniqueCount="154">
  <si>
    <t>Lokasi Penempatan</t>
  </si>
  <si>
    <t>Periode</t>
  </si>
  <si>
    <t>Nama</t>
  </si>
  <si>
    <t>PT. Adi Data Informatika</t>
  </si>
  <si>
    <t>NRIK</t>
  </si>
  <si>
    <t>Tanggal</t>
  </si>
  <si>
    <t>Jam Kerja</t>
  </si>
  <si>
    <t>Absen</t>
  </si>
  <si>
    <t>Total Jam Kerja</t>
  </si>
  <si>
    <t>Keterangan</t>
  </si>
  <si>
    <t>Nama Project</t>
  </si>
  <si>
    <t>Deskripsi Pekerjaan</t>
  </si>
  <si>
    <t>-</t>
  </si>
  <si>
    <t>Total</t>
  </si>
  <si>
    <t>Hasil Kerja :</t>
  </si>
  <si>
    <t>Pernyataan Pegawai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</si>
  <si>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</si>
  <si>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t>Time report ini saya buat dengan sungguh-sungguh dan sebenarnya sesuai dengan nilai-nilai etika dan profesionalisme perusahaan.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</si>
  <si>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</si>
  <si>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</si>
  <si>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</si>
  <si>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t>Penilaian User</t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</si>
  <si>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</si>
  <si>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t>Performa karyawan bulan ini</t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</si>
  <si>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</si>
  <si>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</si>
  <si>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t>Sasaran &amp; Hasil Kerja</t>
  </si>
  <si>
    <t>Kompetensi Mendukung</t>
  </si>
  <si>
    <t>Kedisiplinan</t>
  </si>
  <si>
    <t>Sangat Memuaskan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</si>
  <si>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</si>
  <si>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t>Memuaskan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</si>
  <si>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</si>
  <si>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t>Tidak Memuaskan</t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</si>
  <si>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</si>
  <si>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Sangat Tidak Memuaskan</t>
  </si>
  <si>
    <t>Tanda Tangan Pegawai</t>
  </si>
  <si>
    <t>Diperiksa Oleh</t>
  </si>
  <si>
    <t>Disetujui Oleh</t>
  </si>
  <si>
    <t>Grup IT Application Development</t>
  </si>
  <si>
    <t>Jakarta</t>
  </si>
  <si>
    <t>(Amelia Puspita)</t>
  </si>
  <si>
    <t>(Anggisesa Jalulaga)</t>
  </si>
  <si>
    <t>HR PT Adi Data Informatika</t>
  </si>
  <si>
    <t>Team Leader Channel Development</t>
  </si>
  <si>
    <t>Pemimpin</t>
  </si>
  <si>
    <t>PT. Bank DKI Suryo Pranoto</t>
  </si>
  <si>
    <t>12 Juli 2023 s.d 11 Agustus 2023</t>
  </si>
  <si>
    <t>Khafifah Aprilia</t>
  </si>
  <si>
    <t>PT. Darbeni Bangunkarya</t>
  </si>
  <si>
    <t>12 July 2023</t>
  </si>
  <si>
    <t>Masuk</t>
  </si>
  <si>
    <t>Pembuatan Library Script IT QA</t>
  </si>
  <si>
    <t>13 July 2023</t>
  </si>
  <si>
    <t>Mempelajari flowchart aplikasi E-Office Phase II</t>
  </si>
  <si>
    <t>14 July 2023</t>
  </si>
  <si>
    <t>Pembuatan Percentage Progress di Timeline IT QA Core 2023</t>
  </si>
  <si>
    <t>15 July 2023</t>
  </si>
  <si>
    <t>16 July 2023</t>
  </si>
  <si>
    <t>17 July 2023</t>
  </si>
  <si>
    <t>18 July 2023</t>
  </si>
  <si>
    <t>Pembuatan flowchart aplikasi E-Office Phase II</t>
  </si>
  <si>
    <t>19 July 2023</t>
  </si>
  <si>
    <t>20 July 2023</t>
  </si>
  <si>
    <t>21 July 2023</t>
  </si>
  <si>
    <t>22 July 2023</t>
  </si>
  <si>
    <t>23 July 2023</t>
  </si>
  <si>
    <t>24 July 2023</t>
  </si>
  <si>
    <t>Update time line, summary da pracentage project</t>
  </si>
  <si>
    <t>25 July 2023</t>
  </si>
  <si>
    <t>26 July 2023</t>
  </si>
  <si>
    <t>27 July 2023</t>
  </si>
  <si>
    <t>Analisis UAT Aplikasi E-Recruitment Phase II</t>
  </si>
  <si>
    <t>28 July 2023</t>
  </si>
  <si>
    <t>Melakukan UAT Aplikasi E-Recruitment Phase II</t>
  </si>
  <si>
    <t>29 July 2023</t>
  </si>
  <si>
    <t>30 July 2023</t>
  </si>
  <si>
    <t>31 July 2023</t>
  </si>
  <si>
    <t>Melakukan SIT Aplikasi Portal Reporting Management System (RMS) Tahap II</t>
  </si>
  <si>
    <t>01 August 2023</t>
  </si>
  <si>
    <t>Pembuatan Script UAT Aplikasi Portal Reporting Management Ssytem (RMS) Tahap II</t>
  </si>
  <si>
    <t>02 August 2023</t>
  </si>
  <si>
    <t>Melakukan UAT Aplikasi Portal Reporting Management Ssytem (RMS) Tahap II</t>
  </si>
  <si>
    <t>03 August 2023</t>
  </si>
  <si>
    <t>Melakukan Sign Paralel UAT Aplikasi Portal Reporting Management Ssytem (RMS) Tahap II dan Aplikasi E-Recuitment Tahap II</t>
  </si>
  <si>
    <t>04 August 2023</t>
  </si>
  <si>
    <t>Pembuatan Perhitungan Scoring pada time line IT QA 2023</t>
  </si>
  <si>
    <t>05 August 2023</t>
  </si>
  <si>
    <t>06 August 2023</t>
  </si>
  <si>
    <t>07 August 2023</t>
  </si>
  <si>
    <t>Update Scoring pada time line IT QA 2023</t>
  </si>
  <si>
    <t>08 August 2023</t>
  </si>
  <si>
    <t>09 August 2023</t>
  </si>
  <si>
    <t>10 August 2023</t>
  </si>
  <si>
    <t>Pembuatan Time line IT QA Ccore &amp; Application Support</t>
  </si>
  <si>
    <t>11 August 2023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</si>
  <si>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</si>
  <si>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</si>
  <si>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</si>
  <si>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</si>
  <si>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</si>
  <si>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</si>
  <si>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</si>
  <si>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</si>
  <si>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</si>
  <si>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</si>
  <si>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Dept.____________________________</t>
  </si>
  <si>
    <t>( Khafifah Aprilia)</t>
  </si>
  <si>
    <t>(Idris Bahrul Ilmi)</t>
  </si>
  <si>
    <t>(Pramono)</t>
  </si>
  <si>
    <t>(_________________________________)</t>
  </si>
  <si>
    <t>Staff SDM</t>
  </si>
  <si>
    <t>Manager SDM</t>
  </si>
  <si>
    <t>Pemimpin Department</t>
  </si>
  <si>
    <t xml:space="preserve">Masuk </t>
  </si>
  <si>
    <t>Sakit</t>
  </si>
  <si>
    <t>12 September s.d 11 Oktober 2023</t>
  </si>
  <si>
    <t>1. Melakukan document capture Aplikasi Portal PMK Hapus Buku Phase III
2. Penyusunan Summary dari Library Script IT QA Core Application &amp; Support 
3. Update Update Summary dan rincian IT QA Core Application &amp; Support</t>
  </si>
  <si>
    <t>1. Melakukan Re-UAT Aplikasi Portal PMK Hapus Buku Phase III
2. Update Flow Library Script UAT
3. Upadate Rekapan Absen Kehadiran an Khafifah Aprilia</t>
  </si>
  <si>
    <t>1. Penyusunan Summary dari Library Script  IT QA Core Application &amp; Support
2. Pembuatan BA UAT Aplikasi PMK Hapus Buku Phase III</t>
  </si>
  <si>
    <t>1. Penyusunan Summary dari Library Script IT QA Core Application &amp; Support
2. Update Summary dan rincian IT QA Core Application &amp; Support</t>
  </si>
  <si>
    <t xml:space="preserve">1. Penyusunan Rincian Script dari Library Script IT QA Core Application &amp; Support </t>
  </si>
  <si>
    <t>Izin</t>
  </si>
  <si>
    <t>Izin terkait bimbingan skripsi di kampus</t>
  </si>
  <si>
    <t>1. Penyusunan Rincian Script dari Library Script IT QA Core Application &amp; Support 
2. Melengkapi Rekapan Absen Kehadiran an Khafifah Aprilia</t>
  </si>
  <si>
    <t>1. Penyusunan Summary dari Library Script  IT QA Core Application &amp; Support
2. Update Summary dan rincian IT QA Core Application &amp; Support</t>
  </si>
  <si>
    <t>1. Penyusunan Rincian Script dari Library Script IT QA Core Application &amp; Support 
2. Update summery dan rincian IT QA Core Application &amp; Support</t>
  </si>
  <si>
    <t>1. Penyusunan Rincian Script dari Library Script IT QA Core Application &amp; Support 
2. Update Tme Line IT QA Core Application &amp; Support</t>
  </si>
  <si>
    <t xml:space="preserve">1. Penyusunan Rincian Script dari Library Script IT QA Core Application &amp; Support 
</t>
  </si>
  <si>
    <t xml:space="preserve">1. Penyusunan Rincian Script dari Library Script IT QA Core Application &amp; Support 
2. Menganalisis BRD Project Pengembangan sistem Penilaian Risiko Nasabah Akhir pada Core Banking Sistem
3. Menganlisis BRD Project Sistem abtrian cabang
</t>
  </si>
  <si>
    <t xml:space="preserve">sakit terkait penyakit maag kambuh </t>
  </si>
  <si>
    <t>1. Update Summary dan rincian IT QA Core Application &amp; Support
2. Pembuatan Skrip UAT project Pengembangan sistem Penilaian Risiko Nasabah Akhir pada Core Banking Sistem</t>
  </si>
  <si>
    <t>x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</si>
  <si>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</si>
  <si>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</si>
  <si>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</si>
  <si>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</si>
  <si>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</si>
  <si>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</si>
  <si>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</si>
  <si>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</si>
  <si>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</si>
  <si>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</si>
  <si>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(    Khafifah Aprilia    )</t>
  </si>
  <si>
    <t>Bank Jakarta Suryopranoto 1</t>
  </si>
  <si>
    <t>(Mita Wijaya)</t>
  </si>
  <si>
    <t>Anggit Ari Utomo</t>
  </si>
  <si>
    <t>sabtu</t>
  </si>
  <si>
    <t>minggu</t>
  </si>
  <si>
    <t>E-Form BDS</t>
  </si>
  <si>
    <t>Post production monitoring E-Form BDS</t>
  </si>
  <si>
    <t>(Anggit Ari Utomo)</t>
  </si>
  <si>
    <t>24 Juli s.d 23 Agustus 2026</t>
  </si>
  <si>
    <t>17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</si>
</sst>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[$-F800]dddd\,\ mmmm\ dd\,\ yyyy"/>
    <numFmt numFmtId="166" formatCode="m/d/yyyy"/>
  </numFmts>
  <fonts count="19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b/>
      <i/>
      <sz val="11"/>
      <color rgb="FF000000"/>
      <name val="Calibri"/>
    </font>
    <font>
      <i/>
      <sz val="11"/>
      <color rgb="FF000000"/>
      <name val="Calibri"/>
    </font>
    <font>
      <b/>
      <u/>
      <sz val="11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sz val="7"/>
      <color rgb="FF000000"/>
      <name val="Times New Roman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6" fontId="1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6" fontId="1" fillId="0" borderId="9" xfId="0" applyNumberFormat="1" applyFont="1" applyBorder="1" applyAlignment="1">
      <alignment horizontal="center" vertical="center"/>
    </xf>
    <xf numFmtId="46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5" fillId="0" borderId="44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9" fontId="1" fillId="0" borderId="4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46" fontId="1" fillId="0" borderId="55" xfId="0" applyNumberFormat="1" applyFont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21" fontId="1" fillId="0" borderId="13" xfId="0" applyNumberFormat="1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20" fontId="1" fillId="3" borderId="17" xfId="0" applyNumberFormat="1" applyFont="1" applyFill="1" applyBorder="1" applyAlignment="1">
      <alignment horizontal="center" vertical="center"/>
    </xf>
    <xf numFmtId="20" fontId="1" fillId="3" borderId="58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21" fontId="1" fillId="0" borderId="9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20" fontId="1" fillId="3" borderId="39" xfId="0" applyNumberFormat="1" applyFont="1" applyFill="1" applyBorder="1" applyAlignment="1">
      <alignment horizontal="center" vertical="center"/>
    </xf>
    <xf numFmtId="20" fontId="1" fillId="3" borderId="38" xfId="0" applyNumberFormat="1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20" fontId="1" fillId="2" borderId="38" xfId="0" applyNumberFormat="1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20" fontId="1" fillId="3" borderId="59" xfId="0" applyNumberFormat="1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21" fontId="1" fillId="0" borderId="50" xfId="0" applyNumberFormat="1" applyFont="1" applyBorder="1" applyAlignment="1">
      <alignment horizontal="center" vertical="center"/>
    </xf>
    <xf numFmtId="20" fontId="1" fillId="0" borderId="50" xfId="0" applyNumberFormat="1" applyFont="1" applyBorder="1" applyAlignment="1">
      <alignment horizontal="center" vertical="center"/>
    </xf>
    <xf numFmtId="20" fontId="1" fillId="3" borderId="61" xfId="0" applyNumberFormat="1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6" fontId="1" fillId="4" borderId="57" xfId="0" applyNumberFormat="1" applyFont="1" applyFill="1" applyBorder="1" applyAlignment="1">
      <alignment horizontal="center" vertical="center"/>
    </xf>
    <xf numFmtId="20" fontId="1" fillId="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6" fontId="1" fillId="0" borderId="17" xfId="0" applyNumberFormat="1" applyFont="1" applyBorder="1" applyAlignment="1">
      <alignment horizontal="center" vertical="center"/>
    </xf>
    <xf numFmtId="4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6" fontId="1" fillId="0" borderId="17" xfId="0" applyNumberFormat="1" applyFont="1" applyBorder="1" applyAlignment="1">
      <alignment horizontal="center" vertical="center" wrapText="1"/>
    </xf>
    <xf numFmtId="46" fontId="1" fillId="0" borderId="11" xfId="0" applyNumberFormat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166" fontId="1" fillId="0" borderId="57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5" borderId="34" xfId="0" applyNumberFormat="1" applyFont="1" applyFill="1" applyBorder="1" applyAlignment="1">
      <alignment horizontal="center" vertical="center"/>
    </xf>
    <xf numFmtId="46" fontId="1" fillId="5" borderId="2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20" fontId="1" fillId="0" borderId="38" xfId="0" applyNumberFormat="1" applyFont="1" applyBorder="1" applyAlignment="1">
      <alignment horizontal="center" vertical="center"/>
    </xf>
    <xf numFmtId="20" fontId="1" fillId="5" borderId="38" xfId="0" applyNumberFormat="1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top" wrapText="1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164" fontId="18" fillId="6" borderId="34" xfId="0" applyNumberFormat="1" applyFont="1" applyFill="1" applyBorder="1" applyAlignment="1">
      <alignment horizontal="center" vertical="center"/>
    </xf>
    <xf numFmtId="46" fontId="18" fillId="6" borderId="28" xfId="0" applyNumberFormat="1" applyFont="1" applyFill="1" applyBorder="1" applyAlignment="1">
      <alignment horizontal="center" vertical="center"/>
    </xf>
    <xf numFmtId="20" fontId="18" fillId="6" borderId="38" xfId="0" applyNumberFormat="1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top" wrapText="1"/>
    </xf>
    <xf numFmtId="0" fontId="18" fillId="6" borderId="63" xfId="0" applyFont="1" applyFill="1" applyBorder="1" applyAlignment="1">
      <alignment horizontal="center" vertical="center"/>
    </xf>
    <xf numFmtId="0" fontId="18" fillId="6" borderId="64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17" fillId="0" borderId="3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2" fillId="0" borderId="33" xfId="0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1" fillId="0" borderId="55" xfId="0" applyFont="1" applyBorder="1" applyAlignment="1">
      <alignment horizontal="left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1" fillId="0" borderId="12" xfId="0" applyFont="1" applyBorder="1" applyAlignment="1">
      <alignment horizontal="left" vertical="center" wrapText="1"/>
    </xf>
    <xf numFmtId="0" fontId="2" fillId="0" borderId="36" xfId="0" applyFont="1" applyBorder="1" applyAlignment="1">
      <alignment vertical="center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4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1533525</xdr:colOff>
      <xdr:row>51</xdr:row>
      <xdr:rowOff>28575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89725" y="103155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1533525</xdr:colOff>
      <xdr:row>52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89725" y="106013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53</xdr:row>
      <xdr:rowOff>28575</xdr:rowOff>
    </xdr:from>
    <xdr:ext cx="238125" cy="2286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696075" y="109251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54</xdr:row>
      <xdr:rowOff>9525</xdr:rowOff>
    </xdr:from>
    <xdr:ext cx="238125" cy="2286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96075" y="112109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952500</xdr:colOff>
      <xdr:row>51</xdr:row>
      <xdr:rowOff>9525</xdr:rowOff>
    </xdr:from>
    <xdr:ext cx="257175" cy="2286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52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53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54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51</xdr:row>
      <xdr:rowOff>9525</xdr:rowOff>
    </xdr:from>
    <xdr:ext cx="238125" cy="2286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52</xdr:row>
      <xdr:rowOff>9525</xdr:rowOff>
    </xdr:from>
    <xdr:ext cx="238125" cy="2286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53</xdr:row>
      <xdr:rowOff>9525</xdr:rowOff>
    </xdr:from>
    <xdr:ext cx="238125" cy="2286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54</xdr:row>
      <xdr:rowOff>9525</xdr:rowOff>
    </xdr:from>
    <xdr:ext cx="238125" cy="2286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</xdr:row>
      <xdr:rowOff>57150</xdr:rowOff>
    </xdr:from>
    <xdr:ext cx="2257425" cy="695325"/>
    <xdr:pic>
      <xdr:nvPicPr>
        <xdr:cNvPr id="15" name="image1.png" descr="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321235</xdr:colOff>
      <xdr:row>56</xdr:row>
      <xdr:rowOff>148856</xdr:rowOff>
    </xdr:from>
    <xdr:to>
      <xdr:col>3</xdr:col>
      <xdr:colOff>560294</xdr:colOff>
      <xdr:row>61</xdr:row>
      <xdr:rowOff>100298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ED848C8-574E-2BD2-F5CE-747A1360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176" y="11773091"/>
          <a:ext cx="971177" cy="922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1638300</xdr:colOff>
      <xdr:row>48</xdr:row>
      <xdr:rowOff>9525</xdr:rowOff>
    </xdr:from>
    <xdr:ext cx="238125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49</xdr:row>
      <xdr:rowOff>9525</xdr:rowOff>
    </xdr:from>
    <xdr:ext cx="238125" cy="2286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50</xdr:row>
      <xdr:rowOff>9525</xdr:rowOff>
    </xdr:from>
    <xdr:ext cx="238125" cy="228600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51</xdr:row>
      <xdr:rowOff>9525</xdr:rowOff>
    </xdr:from>
    <xdr:ext cx="238125" cy="228600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952500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49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50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51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48</xdr:row>
      <xdr:rowOff>9525</xdr:rowOff>
    </xdr:from>
    <xdr:ext cx="238125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49</xdr:row>
      <xdr:rowOff>9525</xdr:rowOff>
    </xdr:from>
    <xdr:ext cx="238125" cy="228600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50</xdr:row>
      <xdr:rowOff>9525</xdr:rowOff>
    </xdr:from>
    <xdr:ext cx="238125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51</xdr:row>
      <xdr:rowOff>9525</xdr:rowOff>
    </xdr:from>
    <xdr:ext cx="238125" cy="22860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56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5" name="image2.png" descr=" 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48</xdr:row>
      <xdr:rowOff>0</xdr:rowOff>
    </xdr:from>
    <xdr:ext cx="2171700" cy="4086225"/>
    <xdr:pic>
      <xdr:nvPicPr>
        <xdr:cNvPr id="16" name="image3.png" descr=" 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1971675</xdr:colOff>
      <xdr:row>47</xdr:row>
      <xdr:rowOff>9525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48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49</xdr:row>
      <xdr:rowOff>0</xdr:rowOff>
    </xdr:from>
    <xdr:ext cx="238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47</xdr:row>
      <xdr:rowOff>9525</xdr:rowOff>
    </xdr:from>
    <xdr:ext cx="257175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50</xdr:row>
      <xdr:rowOff>0</xdr:rowOff>
    </xdr:from>
    <xdr:ext cx="238125" cy="2476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49</xdr:row>
      <xdr:rowOff>0</xdr:rowOff>
    </xdr:from>
    <xdr:ext cx="257175" cy="247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50</xdr:row>
      <xdr:rowOff>0</xdr:rowOff>
    </xdr:from>
    <xdr:ext cx="257175" cy="24765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48</xdr:row>
      <xdr:rowOff>9525</xdr:rowOff>
    </xdr:from>
    <xdr:ext cx="247650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55</xdr:row>
      <xdr:rowOff>0</xdr:rowOff>
    </xdr:from>
    <xdr:ext cx="342900" cy="3429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47</xdr:row>
      <xdr:rowOff>9525</xdr:rowOff>
    </xdr:from>
    <xdr:ext cx="247650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3" name="image2.png" descr=" 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47</xdr:row>
      <xdr:rowOff>-38100</xdr:rowOff>
    </xdr:from>
    <xdr:ext cx="2257425" cy="4076700"/>
    <xdr:pic>
      <xdr:nvPicPr>
        <xdr:cNvPr id="14" name="image3.png" descr=" 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showGridLines="0" tabSelected="1" topLeftCell="A6" zoomScale="85" zoomScaleNormal="85" workbookViewId="0">
      <selection activeCell="N28" sqref="N28"/>
    </sheetView>
  </sheetViews>
  <sheetFormatPr defaultColWidth="14.44140625" defaultRowHeight="15" customHeight="1"/>
  <cols>
    <col min="1" max="1" width="2.21875" customWidth="1"/>
    <col min="2" max="2" width="23.44140625" customWidth="1"/>
    <col min="3" max="4" width="10.44140625" customWidth="1"/>
    <col min="5" max="6" width="8.77734375" customWidth="1"/>
    <col min="7" max="7" width="9.77734375" customWidth="1"/>
    <col min="8" max="9" width="26" customWidth="1"/>
    <col min="10" max="10" width="8.77734375" customWidth="1"/>
    <col min="11" max="11" width="18.77734375" customWidth="1"/>
    <col min="12" max="12" width="44.6640625" customWidth="1"/>
    <col min="13" max="26" width="14" customWidth="1"/>
  </cols>
  <sheetData>
    <row r="1" spans="1:12" ht="14.4">
      <c r="A1" s="1"/>
      <c r="B1" s="1"/>
      <c r="C1" s="2"/>
      <c r="D1" s="2"/>
      <c r="E1" s="2"/>
      <c r="F1" s="2"/>
      <c r="G1" s="2"/>
      <c r="H1" s="1"/>
      <c r="I1" s="1"/>
      <c r="J1" s="1"/>
      <c r="K1" s="1"/>
      <c r="L1" s="1"/>
    </row>
    <row r="2" spans="1:12" ht="14.4">
      <c r="A2" s="1"/>
      <c r="B2" s="145"/>
      <c r="C2" s="134"/>
      <c r="D2" s="134"/>
      <c r="E2" s="143" t="s">
        <v>0</v>
      </c>
      <c r="F2" s="134"/>
      <c r="G2" s="134"/>
      <c r="H2" s="134"/>
      <c r="I2" s="148"/>
      <c r="J2" s="151" t="s">
        <v>1</v>
      </c>
      <c r="K2" s="134"/>
      <c r="L2" s="135"/>
    </row>
    <row r="3" spans="1:12" ht="14.4">
      <c r="A3" s="1"/>
      <c r="B3" s="130"/>
      <c r="C3" s="125"/>
      <c r="D3" s="125"/>
      <c r="E3" s="149"/>
      <c r="F3" s="147"/>
      <c r="G3" s="147"/>
      <c r="H3" s="147"/>
      <c r="I3" s="150"/>
      <c r="J3" s="147"/>
      <c r="K3" s="147"/>
      <c r="L3" s="152"/>
    </row>
    <row r="4" spans="1:12" ht="14.4">
      <c r="A4" s="1"/>
      <c r="B4" s="130"/>
      <c r="C4" s="125"/>
      <c r="D4" s="125"/>
      <c r="E4" s="153" t="s">
        <v>144</v>
      </c>
      <c r="F4" s="154"/>
      <c r="G4" s="154"/>
      <c r="H4" s="154"/>
      <c r="I4" s="155"/>
      <c r="J4" s="156" t="s">
        <v>152</v>
      </c>
      <c r="K4" s="157"/>
      <c r="L4" s="158"/>
    </row>
    <row r="5" spans="1:12" ht="14.4">
      <c r="A5" s="1"/>
      <c r="B5" s="146"/>
      <c r="C5" s="147"/>
      <c r="D5" s="147"/>
      <c r="E5" s="6" t="s">
        <v>2</v>
      </c>
      <c r="F5" s="159" t="s">
        <v>146</v>
      </c>
      <c r="G5" s="154"/>
      <c r="H5" s="154"/>
      <c r="I5" s="155"/>
      <c r="J5" s="125"/>
      <c r="K5" s="125"/>
      <c r="L5" s="124"/>
    </row>
    <row r="6" spans="1:12" ht="14.4">
      <c r="A6" s="1"/>
      <c r="B6" s="162" t="s">
        <v>3</v>
      </c>
      <c r="C6" s="157"/>
      <c r="D6" s="157"/>
      <c r="E6" s="7" t="s">
        <v>4</v>
      </c>
      <c r="F6" s="160">
        <v>0</v>
      </c>
      <c r="G6" s="157"/>
      <c r="H6" s="157"/>
      <c r="I6" s="161"/>
      <c r="J6" s="125"/>
      <c r="K6" s="125"/>
      <c r="L6" s="124"/>
    </row>
    <row r="7" spans="1:12" ht="15" customHeight="1">
      <c r="A7" s="1"/>
      <c r="B7" s="163" t="s">
        <v>5</v>
      </c>
      <c r="C7" s="165" t="s">
        <v>6</v>
      </c>
      <c r="D7" s="166"/>
      <c r="E7" s="143" t="s">
        <v>7</v>
      </c>
      <c r="F7" s="148"/>
      <c r="G7" s="168" t="s">
        <v>8</v>
      </c>
      <c r="H7" s="141" t="s">
        <v>9</v>
      </c>
      <c r="I7" s="141" t="s">
        <v>10</v>
      </c>
      <c r="J7" s="143" t="s">
        <v>11</v>
      </c>
      <c r="K7" s="134"/>
      <c r="L7" s="135"/>
    </row>
    <row r="8" spans="1:12" thickBot="1">
      <c r="A8" s="1"/>
      <c r="B8" s="164"/>
      <c r="C8" s="8">
        <v>0.33333333333333331</v>
      </c>
      <c r="D8" s="8">
        <v>0.70833333333333337</v>
      </c>
      <c r="E8" s="144"/>
      <c r="F8" s="167"/>
      <c r="G8" s="142"/>
      <c r="H8" s="142"/>
      <c r="I8" s="142"/>
      <c r="J8" s="144"/>
      <c r="K8" s="132"/>
      <c r="L8" s="128"/>
    </row>
    <row r="9" spans="1:12" ht="15" customHeight="1" thickBot="1">
      <c r="A9" s="9"/>
      <c r="B9" s="10">
        <v>46227</v>
      </c>
      <c r="C9" s="8">
        <v>0.33333333333333331</v>
      </c>
      <c r="D9" s="8">
        <v>0.70833333333333337</v>
      </c>
      <c r="E9" s="12">
        <v>0.32708333333333334</v>
      </c>
      <c r="F9" s="8">
        <v>0.73055555555555551</v>
      </c>
      <c r="G9" s="11">
        <f>ROUND(MOD(F9-E9-TIME(1,0,0),1)*24,1)</f>
        <v>8.6999999999999993</v>
      </c>
      <c r="H9" s="14"/>
      <c r="I9" s="14" t="s">
        <v>149</v>
      </c>
      <c r="J9" s="119" t="s">
        <v>150</v>
      </c>
      <c r="K9" s="120"/>
      <c r="L9" s="121"/>
    </row>
    <row r="10" spans="1:12" thickBot="1">
      <c r="A10" s="9"/>
      <c r="B10" s="101">
        <v>46228</v>
      </c>
      <c r="C10" s="102"/>
      <c r="D10" s="102"/>
      <c r="E10" s="106"/>
      <c r="F10" s="102"/>
      <c r="G10" s="103"/>
      <c r="H10" s="104" t="s">
        <v>147</v>
      </c>
      <c r="I10" s="104"/>
      <c r="J10" s="108"/>
      <c r="K10" s="109"/>
      <c r="L10" s="110"/>
    </row>
    <row r="11" spans="1:12" thickBot="1">
      <c r="A11" s="9"/>
      <c r="B11" s="101">
        <v>46229</v>
      </c>
      <c r="C11" s="102"/>
      <c r="D11" s="102"/>
      <c r="E11" s="106"/>
      <c r="F11" s="102"/>
      <c r="G11" s="103"/>
      <c r="H11" s="104" t="s">
        <v>148</v>
      </c>
      <c r="I11" s="104"/>
      <c r="J11" s="108"/>
      <c r="K11" s="109"/>
      <c r="L11" s="110"/>
    </row>
    <row r="12" spans="1:12" thickBot="1">
      <c r="A12" s="9"/>
      <c r="B12" s="10">
        <v>46230</v>
      </c>
      <c r="C12" s="8">
        <v>0.33333333333333331</v>
      </c>
      <c r="D12" s="8">
        <v>0.70833333333333337</v>
      </c>
      <c r="E12" s="105">
        <v>0.33263888888888887</v>
      </c>
      <c r="F12" s="8">
        <v>0.72638888888888886</v>
      </c>
      <c r="G12" s="11">
        <f t="shared" ref="G12:G16" si="0">ROUND(MOD(F12-E12-TIME(1,0,0),1)*24,1)</f>
        <v>8.5</v>
      </c>
      <c r="H12" s="14"/>
      <c r="I12" s="14" t="s">
        <v>149</v>
      </c>
      <c r="J12" s="119" t="s">
        <v>150</v>
      </c>
      <c r="K12" s="120"/>
      <c r="L12" s="121"/>
    </row>
    <row r="13" spans="1:12" thickBot="1">
      <c r="A13" s="9"/>
      <c r="B13" s="10">
        <v>46231</v>
      </c>
      <c r="C13" s="8">
        <v>0.33333333333333331</v>
      </c>
      <c r="D13" s="8">
        <v>0.70833333333333337</v>
      </c>
      <c r="E13" s="105">
        <v>0.3527777777777778</v>
      </c>
      <c r="F13" s="8">
        <v>0.72916666666666663</v>
      </c>
      <c r="G13" s="11">
        <f t="shared" si="0"/>
        <v>8</v>
      </c>
      <c r="H13" s="14"/>
      <c r="I13" s="14" t="s">
        <v>149</v>
      </c>
      <c r="J13" s="119" t="s">
        <v>150</v>
      </c>
      <c r="K13" s="120"/>
      <c r="L13" s="121"/>
    </row>
    <row r="14" spans="1:12" thickBot="1">
      <c r="A14" s="9"/>
      <c r="B14" s="10">
        <v>46232</v>
      </c>
      <c r="C14" s="8">
        <v>0.33333333333333331</v>
      </c>
      <c r="D14" s="8">
        <v>0.70833333333333337</v>
      </c>
      <c r="E14" s="105">
        <v>0.35</v>
      </c>
      <c r="F14" s="8">
        <v>0.75972222222222219</v>
      </c>
      <c r="G14" s="11">
        <f t="shared" si="0"/>
        <v>8.8000000000000007</v>
      </c>
      <c r="H14" s="14"/>
      <c r="I14" s="14" t="s">
        <v>149</v>
      </c>
      <c r="J14" s="119" t="s">
        <v>150</v>
      </c>
      <c r="K14" s="120"/>
      <c r="L14" s="121"/>
    </row>
    <row r="15" spans="1:12" thickBot="1">
      <c r="A15" s="9"/>
      <c r="B15" s="10">
        <v>46233</v>
      </c>
      <c r="C15" s="8">
        <v>0.33333333333333331</v>
      </c>
      <c r="D15" s="8">
        <v>0.70833333333333337</v>
      </c>
      <c r="E15" s="105">
        <v>0.31874999999999998</v>
      </c>
      <c r="F15" s="8">
        <v>0.7270833333333333</v>
      </c>
      <c r="G15" s="11">
        <f t="shared" si="0"/>
        <v>8.8000000000000007</v>
      </c>
      <c r="H15" s="14"/>
      <c r="I15" s="14" t="s">
        <v>149</v>
      </c>
      <c r="J15" s="119" t="s">
        <v>150</v>
      </c>
      <c r="K15" s="120"/>
      <c r="L15" s="121"/>
    </row>
    <row r="16" spans="1:12" thickBot="1">
      <c r="A16" s="9"/>
      <c r="B16" s="10">
        <v>46234</v>
      </c>
      <c r="C16" s="8">
        <v>0.33333333333333331</v>
      </c>
      <c r="D16" s="8">
        <v>0.70833333333333337</v>
      </c>
      <c r="E16" s="105">
        <v>0.3298611111111111</v>
      </c>
      <c r="F16" s="8">
        <v>0.72361111111111109</v>
      </c>
      <c r="G16" s="11">
        <f t="shared" si="0"/>
        <v>8.5</v>
      </c>
      <c r="H16" s="14"/>
      <c r="I16" s="14" t="s">
        <v>149</v>
      </c>
      <c r="J16" s="119" t="s">
        <v>150</v>
      </c>
      <c r="K16" s="120"/>
      <c r="L16" s="121"/>
    </row>
    <row r="17" spans="1:12" thickBot="1">
      <c r="A17" s="9"/>
      <c r="B17" s="101">
        <v>46235</v>
      </c>
      <c r="C17" s="102"/>
      <c r="D17" s="102"/>
      <c r="E17" s="106"/>
      <c r="F17" s="102"/>
      <c r="G17" s="107"/>
      <c r="H17" s="104" t="s">
        <v>147</v>
      </c>
      <c r="I17" s="104"/>
      <c r="J17" s="108"/>
      <c r="K17" s="109"/>
      <c r="L17" s="110"/>
    </row>
    <row r="18" spans="1:12" thickBot="1">
      <c r="A18" s="9"/>
      <c r="B18" s="101">
        <v>46236</v>
      </c>
      <c r="C18" s="102"/>
      <c r="D18" s="102"/>
      <c r="E18" s="106"/>
      <c r="F18" s="102"/>
      <c r="G18" s="107"/>
      <c r="H18" s="104" t="s">
        <v>148</v>
      </c>
      <c r="I18" s="104"/>
      <c r="J18" s="108"/>
      <c r="K18" s="109"/>
      <c r="L18" s="110"/>
    </row>
    <row r="19" spans="1:12" thickBot="1">
      <c r="A19" s="9"/>
      <c r="B19" s="10">
        <v>46237</v>
      </c>
      <c r="C19" s="8">
        <v>0.33333333333333331</v>
      </c>
      <c r="D19" s="8">
        <v>0.70833333333333337</v>
      </c>
      <c r="E19" s="105">
        <v>0.32291666666666669</v>
      </c>
      <c r="F19" s="8">
        <v>0.7368055555555556</v>
      </c>
      <c r="G19" s="11">
        <f t="shared" ref="G19:G23" si="1">ROUND(MOD(F19-E19-TIME(1,0,0),1)*24,1)</f>
        <v>8.9</v>
      </c>
      <c r="H19" s="14"/>
      <c r="I19" s="14" t="s">
        <v>149</v>
      </c>
      <c r="J19" s="119" t="s">
        <v>150</v>
      </c>
      <c r="K19" s="120"/>
      <c r="L19" s="121"/>
    </row>
    <row r="20" spans="1:12" thickBot="1">
      <c r="A20" s="9"/>
      <c r="B20" s="10">
        <v>46238</v>
      </c>
      <c r="C20" s="8">
        <v>0.33333333333333331</v>
      </c>
      <c r="D20" s="8">
        <v>0.70833333333333337</v>
      </c>
      <c r="E20" s="105">
        <v>0.33680555555555558</v>
      </c>
      <c r="F20" s="8">
        <v>0.79513888888888884</v>
      </c>
      <c r="G20" s="11">
        <f t="shared" si="1"/>
        <v>10</v>
      </c>
      <c r="H20" s="14"/>
      <c r="I20" s="14" t="s">
        <v>149</v>
      </c>
      <c r="J20" s="119" t="s">
        <v>150</v>
      </c>
      <c r="K20" s="120"/>
      <c r="L20" s="121"/>
    </row>
    <row r="21" spans="1:12" thickBot="1">
      <c r="A21" s="9"/>
      <c r="B21" s="10">
        <v>46239</v>
      </c>
      <c r="C21" s="8">
        <v>0.33333333333333331</v>
      </c>
      <c r="D21" s="8">
        <v>0.70833333333333337</v>
      </c>
      <c r="E21" s="105">
        <v>0.37291666666666667</v>
      </c>
      <c r="F21" s="8">
        <v>0.7368055555555556</v>
      </c>
      <c r="G21" s="11">
        <f t="shared" si="1"/>
        <v>7.7</v>
      </c>
      <c r="H21" s="14"/>
      <c r="I21" s="14" t="s">
        <v>149</v>
      </c>
      <c r="J21" s="119" t="s">
        <v>150</v>
      </c>
      <c r="K21" s="120"/>
      <c r="L21" s="121"/>
    </row>
    <row r="22" spans="1:12" thickBot="1">
      <c r="A22" s="9"/>
      <c r="B22" s="10">
        <v>46240</v>
      </c>
      <c r="C22" s="8">
        <v>0.33333333333333331</v>
      </c>
      <c r="D22" s="8">
        <v>0.70833333333333337</v>
      </c>
      <c r="E22" s="105">
        <v>0.37152777777777779</v>
      </c>
      <c r="F22" s="8">
        <v>0.75763888888888886</v>
      </c>
      <c r="G22" s="11">
        <f t="shared" si="1"/>
        <v>8.3000000000000007</v>
      </c>
      <c r="H22" s="14"/>
      <c r="I22" s="14" t="s">
        <v>149</v>
      </c>
      <c r="J22" s="119" t="s">
        <v>150</v>
      </c>
      <c r="K22" s="120"/>
      <c r="L22" s="121"/>
    </row>
    <row r="23" spans="1:12" thickBot="1">
      <c r="A23" s="9"/>
      <c r="B23" s="10">
        <v>46241</v>
      </c>
      <c r="C23" s="8">
        <v>0.33333333333333331</v>
      </c>
      <c r="D23" s="8">
        <v>0.70833333333333337</v>
      </c>
      <c r="E23" s="105">
        <v>0.32361111111111113</v>
      </c>
      <c r="F23" s="8">
        <v>0.70833333333333337</v>
      </c>
      <c r="G23" s="11">
        <f t="shared" si="1"/>
        <v>8.1999999999999993</v>
      </c>
      <c r="H23" s="14"/>
      <c r="I23" s="14" t="s">
        <v>149</v>
      </c>
      <c r="J23" s="119" t="s">
        <v>150</v>
      </c>
      <c r="K23" s="120"/>
      <c r="L23" s="121"/>
    </row>
    <row r="24" spans="1:12" thickBot="1">
      <c r="A24" s="9"/>
      <c r="B24" s="101">
        <v>46242</v>
      </c>
      <c r="C24" s="102"/>
      <c r="D24" s="102"/>
      <c r="E24" s="106"/>
      <c r="F24" s="102"/>
      <c r="G24" s="107"/>
      <c r="H24" s="104" t="s">
        <v>147</v>
      </c>
      <c r="I24" s="104"/>
      <c r="J24" s="108"/>
      <c r="K24" s="109"/>
      <c r="L24" s="110"/>
    </row>
    <row r="25" spans="1:12" thickBot="1">
      <c r="A25" s="9"/>
      <c r="B25" s="101">
        <v>46243</v>
      </c>
      <c r="C25" s="102"/>
      <c r="D25" s="102"/>
      <c r="E25" s="106"/>
      <c r="F25" s="102"/>
      <c r="G25" s="107"/>
      <c r="H25" s="104" t="s">
        <v>148</v>
      </c>
      <c r="I25" s="104"/>
      <c r="J25" s="108"/>
      <c r="K25" s="109"/>
      <c r="L25" s="110"/>
    </row>
    <row r="26" spans="1:12" thickBot="1">
      <c r="A26" s="9"/>
      <c r="B26" s="10">
        <v>46244</v>
      </c>
      <c r="C26" s="8">
        <v>0.33333333333333331</v>
      </c>
      <c r="D26" s="8">
        <v>0.70833333333333337</v>
      </c>
      <c r="E26" s="105">
        <v>0.33124999999999999</v>
      </c>
      <c r="F26" s="8">
        <v>0.72430555555555554</v>
      </c>
      <c r="G26" s="11">
        <f t="shared" ref="G26:G30" si="2">ROUND(MOD(F26-E26-TIME(1,0,0),1)*24,1)</f>
        <v>8.4</v>
      </c>
      <c r="H26" s="14"/>
      <c r="I26" s="14" t="s">
        <v>149</v>
      </c>
      <c r="J26" s="119" t="s">
        <v>150</v>
      </c>
      <c r="K26" s="120"/>
      <c r="L26" s="121"/>
    </row>
    <row r="27" spans="1:12" thickBot="1">
      <c r="A27" s="9"/>
      <c r="B27" s="10">
        <v>46245</v>
      </c>
      <c r="C27" s="8">
        <v>0.33333333333333331</v>
      </c>
      <c r="D27" s="8">
        <v>0.70833333333333337</v>
      </c>
      <c r="E27" s="105">
        <v>0.31111111111111112</v>
      </c>
      <c r="F27" s="8">
        <v>0.73541666666666672</v>
      </c>
      <c r="G27" s="11">
        <f t="shared" si="2"/>
        <v>9.1999999999999993</v>
      </c>
      <c r="H27" s="14"/>
      <c r="I27" s="14" t="s">
        <v>149</v>
      </c>
      <c r="J27" s="119" t="s">
        <v>150</v>
      </c>
      <c r="K27" s="120"/>
      <c r="L27" s="121"/>
    </row>
    <row r="28" spans="1:12" thickBot="1">
      <c r="A28" s="9"/>
      <c r="B28" s="10">
        <v>46246</v>
      </c>
      <c r="C28" s="8">
        <v>0.33333333333333331</v>
      </c>
      <c r="D28" s="8">
        <v>0.70833333333333337</v>
      </c>
      <c r="E28" s="105">
        <v>0.3263888888888889</v>
      </c>
      <c r="F28" s="8">
        <v>0.74652777777777779</v>
      </c>
      <c r="G28" s="11">
        <f t="shared" si="2"/>
        <v>9.1</v>
      </c>
      <c r="H28" s="14"/>
      <c r="I28" s="14" t="s">
        <v>149</v>
      </c>
      <c r="J28" s="119" t="s">
        <v>150</v>
      </c>
      <c r="K28" s="120"/>
      <c r="L28" s="121"/>
    </row>
    <row r="29" spans="1:12" thickBot="1">
      <c r="A29" s="9"/>
      <c r="B29" s="10">
        <v>46247</v>
      </c>
      <c r="C29" s="8">
        <v>0.33333333333333331</v>
      </c>
      <c r="D29" s="8">
        <v>0.70833333333333337</v>
      </c>
      <c r="E29" s="105">
        <v>0.34513888888888888</v>
      </c>
      <c r="F29" s="8">
        <v>0.7270833333333333</v>
      </c>
      <c r="G29" s="11">
        <f t="shared" si="2"/>
        <v>8.1999999999999993</v>
      </c>
      <c r="H29" s="14"/>
      <c r="I29" s="14" t="s">
        <v>149</v>
      </c>
      <c r="J29" s="119" t="s">
        <v>150</v>
      </c>
      <c r="K29" s="120"/>
      <c r="L29" s="121"/>
    </row>
    <row r="30" spans="1:12" thickBot="1">
      <c r="A30" s="9"/>
      <c r="B30" s="10">
        <v>46248</v>
      </c>
      <c r="C30" s="8">
        <v>0.33333333333333331</v>
      </c>
      <c r="D30" s="8">
        <v>0.70833333333333337</v>
      </c>
      <c r="E30" s="105">
        <v>0.3</v>
      </c>
      <c r="F30" s="8">
        <v>0.75277777777777777</v>
      </c>
      <c r="G30" s="11">
        <f t="shared" si="2"/>
        <v>9.9</v>
      </c>
      <c r="H30" s="14"/>
      <c r="I30" s="14" t="s">
        <v>149</v>
      </c>
      <c r="J30" s="119" t="s">
        <v>150</v>
      </c>
      <c r="K30" s="120"/>
      <c r="L30" s="121"/>
    </row>
    <row r="31" spans="1:12" thickBot="1">
      <c r="A31" s="9"/>
      <c r="B31" s="101">
        <v>46249</v>
      </c>
      <c r="C31" s="102"/>
      <c r="D31" s="102"/>
      <c r="E31" s="106"/>
      <c r="F31" s="102"/>
      <c r="G31" s="107"/>
      <c r="H31" s="104" t="s">
        <v>147</v>
      </c>
      <c r="I31" s="104"/>
      <c r="J31" s="108"/>
      <c r="K31" s="109"/>
      <c r="L31" s="110"/>
    </row>
    <row r="32" spans="1:12" thickBot="1">
      <c r="A32" s="9"/>
      <c r="B32" s="101">
        <v>46250</v>
      </c>
      <c r="C32" s="102"/>
      <c r="D32" s="102"/>
      <c r="E32" s="106"/>
      <c r="F32" s="102"/>
      <c r="G32" s="107"/>
      <c r="H32" s="104" t="s">
        <v>148</v>
      </c>
      <c r="I32" s="104"/>
      <c r="J32" s="108"/>
      <c r="K32" s="109"/>
      <c r="L32" s="110"/>
    </row>
    <row r="33" spans="1:12" thickBot="1">
      <c r="A33" s="9"/>
      <c r="B33" s="111">
        <v>46251</v>
      </c>
      <c r="C33" s="112"/>
      <c r="D33" s="112"/>
      <c r="E33" s="113"/>
      <c r="F33" s="112"/>
      <c r="G33" s="114"/>
      <c r="H33" s="115" t="s">
        <v>153</v>
      </c>
      <c r="I33" s="115"/>
      <c r="J33" s="116"/>
      <c r="K33" s="117"/>
      <c r="L33" s="118"/>
    </row>
    <row r="34" spans="1:12" thickBot="1">
      <c r="A34" s="9"/>
      <c r="B34" s="10">
        <v>46252</v>
      </c>
      <c r="C34" s="8">
        <v>0.33333333333333331</v>
      </c>
      <c r="D34" s="8">
        <v>0.70833333333333337</v>
      </c>
      <c r="E34" s="105">
        <v>0.32361111111111113</v>
      </c>
      <c r="F34" s="8">
        <v>0.70902777777777781</v>
      </c>
      <c r="G34" s="11">
        <f t="shared" ref="G34:G37" si="3">ROUND(MOD(F34-E34-TIME(1,0,0),1)*24,1)</f>
        <v>8.3000000000000007</v>
      </c>
      <c r="H34" s="14"/>
      <c r="I34" s="14" t="s">
        <v>149</v>
      </c>
      <c r="J34" s="119" t="s">
        <v>150</v>
      </c>
      <c r="K34" s="120"/>
      <c r="L34" s="121"/>
    </row>
    <row r="35" spans="1:12" thickBot="1">
      <c r="A35" s="9"/>
      <c r="B35" s="10">
        <v>46253</v>
      </c>
      <c r="C35" s="8">
        <v>0.33333333333333331</v>
      </c>
      <c r="D35" s="8">
        <v>0.70833333333333337</v>
      </c>
      <c r="E35" s="105">
        <v>0.27500000000000002</v>
      </c>
      <c r="F35" s="8">
        <v>0.74097222222222225</v>
      </c>
      <c r="G35" s="11">
        <f t="shared" si="3"/>
        <v>10.199999999999999</v>
      </c>
      <c r="H35" s="14"/>
      <c r="I35" s="14" t="s">
        <v>149</v>
      </c>
      <c r="J35" s="119" t="s">
        <v>150</v>
      </c>
      <c r="K35" s="120"/>
      <c r="L35" s="121"/>
    </row>
    <row r="36" spans="1:12" thickBot="1">
      <c r="A36" s="9"/>
      <c r="B36" s="10">
        <v>46254</v>
      </c>
      <c r="C36" s="8">
        <v>0.33333333333333331</v>
      </c>
      <c r="D36" s="8">
        <v>0.70833333333333337</v>
      </c>
      <c r="E36" s="105">
        <v>0.33680555555555558</v>
      </c>
      <c r="F36" s="8">
        <v>0.72499999999999998</v>
      </c>
      <c r="G36" s="11">
        <f t="shared" si="3"/>
        <v>8.3000000000000007</v>
      </c>
      <c r="H36" s="14"/>
      <c r="I36" s="14" t="s">
        <v>149</v>
      </c>
      <c r="J36" s="119" t="s">
        <v>150</v>
      </c>
      <c r="K36" s="120"/>
      <c r="L36" s="121"/>
    </row>
    <row r="37" spans="1:12" thickBot="1">
      <c r="A37" s="9"/>
      <c r="B37" s="10">
        <v>46255</v>
      </c>
      <c r="C37" s="8">
        <v>0.33333333333333331</v>
      </c>
      <c r="D37" s="8">
        <v>0.70833333333333337</v>
      </c>
      <c r="E37" s="105">
        <v>0.33333333333333331</v>
      </c>
      <c r="F37" s="8">
        <v>0.72916666666666663</v>
      </c>
      <c r="G37" s="11">
        <f t="shared" si="3"/>
        <v>8.5</v>
      </c>
      <c r="H37" s="14"/>
      <c r="I37" s="14" t="s">
        <v>149</v>
      </c>
      <c r="J37" s="119" t="s">
        <v>150</v>
      </c>
      <c r="K37" s="120"/>
      <c r="L37" s="121"/>
    </row>
    <row r="38" spans="1:12" thickBot="1">
      <c r="A38" s="9"/>
      <c r="B38" s="101">
        <v>46256</v>
      </c>
      <c r="C38" s="102"/>
      <c r="D38" s="102"/>
      <c r="E38" s="106"/>
      <c r="F38" s="102"/>
      <c r="G38" s="103"/>
      <c r="H38" s="104" t="s">
        <v>147</v>
      </c>
      <c r="I38" s="104"/>
      <c r="J38" s="108"/>
      <c r="K38" s="109"/>
      <c r="L38" s="110"/>
    </row>
    <row r="39" spans="1:12" thickBot="1">
      <c r="A39" s="9"/>
      <c r="B39" s="101">
        <v>46257</v>
      </c>
      <c r="C39" s="102"/>
      <c r="D39" s="102"/>
      <c r="E39" s="106"/>
      <c r="F39" s="102"/>
      <c r="G39" s="107"/>
      <c r="H39" s="104" t="s">
        <v>148</v>
      </c>
      <c r="I39" s="104"/>
      <c r="J39" s="108"/>
      <c r="K39" s="109"/>
      <c r="L39" s="110"/>
    </row>
    <row r="40" spans="1:12" ht="14.4">
      <c r="A40" s="2"/>
    </row>
    <row r="41" spans="1:12" ht="14.4">
      <c r="A41" s="2"/>
    </row>
    <row r="42" spans="1:12" thickBot="1">
      <c r="A42" s="1"/>
    </row>
    <row r="43" spans="1:12" ht="18" customHeight="1" thickBot="1">
      <c r="A43" s="1"/>
      <c r="B43" s="136" t="s">
        <v>13</v>
      </c>
      <c r="C43" s="137"/>
      <c r="D43" s="137"/>
      <c r="E43" s="137"/>
      <c r="F43" s="138"/>
      <c r="G43" s="18">
        <f>SUM(G9:G39)</f>
        <v>174.5</v>
      </c>
      <c r="H43" s="19"/>
      <c r="I43" s="19"/>
      <c r="J43" s="19"/>
      <c r="K43" s="19"/>
      <c r="L43" s="20"/>
    </row>
    <row r="44" spans="1:12" ht="20.25" customHeight="1">
      <c r="A44" s="1"/>
      <c r="B44" s="21" t="s">
        <v>14</v>
      </c>
      <c r="C44" s="22"/>
      <c r="D44" s="22"/>
      <c r="E44" s="22"/>
      <c r="F44" s="22"/>
      <c r="G44" s="23"/>
      <c r="H44" s="133" t="s">
        <v>15</v>
      </c>
      <c r="I44" s="134"/>
      <c r="J44" s="134"/>
      <c r="K44" s="134"/>
      <c r="L44" s="135"/>
    </row>
    <row r="45" spans="1:12" ht="20.25" customHeight="1">
      <c r="A45" s="1"/>
      <c r="B45" s="24" t="s">
        <v>16</v>
      </c>
      <c r="C45" s="25"/>
      <c r="D45" s="25"/>
      <c r="E45" s="25"/>
      <c r="F45" s="25"/>
      <c r="G45" s="26">
        <v>21</v>
      </c>
      <c r="H45" s="129" t="s">
        <v>17</v>
      </c>
      <c r="I45" s="125"/>
      <c r="J45" s="125"/>
      <c r="K45" s="125"/>
      <c r="L45" s="124"/>
    </row>
    <row r="46" spans="1:12" ht="20.25" customHeight="1">
      <c r="A46" s="1"/>
      <c r="B46" s="24" t="s">
        <v>18</v>
      </c>
      <c r="C46" s="25"/>
      <c r="D46" s="25"/>
      <c r="E46" s="25"/>
      <c r="F46" s="25"/>
      <c r="G46" s="27">
        <v>1</v>
      </c>
      <c r="H46" s="130"/>
      <c r="I46" s="125"/>
      <c r="J46" s="125"/>
      <c r="K46" s="125"/>
      <c r="L46" s="124"/>
    </row>
    <row r="47" spans="1:12" ht="20.25" customHeight="1" thickBot="1">
      <c r="A47" s="1"/>
      <c r="B47" s="24" t="s">
        <v>19</v>
      </c>
      <c r="C47" s="25"/>
      <c r="D47" s="25"/>
      <c r="E47" s="25"/>
      <c r="F47" s="25"/>
      <c r="G47" s="27">
        <v>0</v>
      </c>
      <c r="H47" s="131"/>
      <c r="I47" s="132"/>
      <c r="J47" s="132"/>
      <c r="K47" s="132"/>
      <c r="L47" s="128"/>
    </row>
    <row r="48" spans="1:12" ht="20.25" customHeight="1">
      <c r="A48" s="1"/>
      <c r="B48" s="24" t="s">
        <v>20</v>
      </c>
      <c r="C48" s="25"/>
      <c r="D48" s="25"/>
      <c r="E48" s="25"/>
      <c r="F48" s="25"/>
      <c r="G48" s="27">
        <v>0</v>
      </c>
      <c r="H48" s="133" t="s">
        <v>21</v>
      </c>
      <c r="I48" s="134"/>
      <c r="J48" s="134"/>
      <c r="K48" s="134"/>
      <c r="L48" s="135"/>
    </row>
    <row r="49" spans="1:12" ht="20.25" customHeight="1">
      <c r="A49" s="1"/>
      <c r="B49" s="24" t="s">
        <v>22</v>
      </c>
      <c r="C49" s="25"/>
      <c r="D49" s="25"/>
      <c r="E49" s="25"/>
      <c r="F49" s="25"/>
      <c r="G49" s="27">
        <v>0</v>
      </c>
      <c r="H49" s="122" t="s">
        <v>23</v>
      </c>
      <c r="I49" s="125"/>
      <c r="J49" s="125"/>
      <c r="K49" s="125"/>
      <c r="L49" s="124"/>
    </row>
    <row r="50" spans="1:12" ht="20.25" customHeight="1" thickBot="1">
      <c r="A50" s="1"/>
      <c r="B50" s="24" t="s">
        <v>24</v>
      </c>
      <c r="C50" s="25"/>
      <c r="D50" s="25"/>
      <c r="E50" s="25"/>
      <c r="F50" s="25"/>
      <c r="G50" s="27">
        <v>21</v>
      </c>
      <c r="H50" s="131"/>
      <c r="I50" s="132"/>
      <c r="J50" s="132"/>
      <c r="K50" s="132"/>
      <c r="L50" s="128"/>
    </row>
    <row r="51" spans="1:12" ht="24" customHeight="1" thickBot="1">
      <c r="A51" s="1"/>
      <c r="B51" s="24" t="s">
        <v>25</v>
      </c>
      <c r="C51" s="25"/>
      <c r="D51" s="25"/>
      <c r="E51" s="25"/>
      <c r="F51" s="25"/>
      <c r="G51" s="29">
        <f>G50/G45</f>
        <v>1</v>
      </c>
      <c r="H51" s="30" t="s">
        <v>26</v>
      </c>
      <c r="I51" s="31"/>
      <c r="J51" s="139" t="s">
        <v>27</v>
      </c>
      <c r="K51" s="140"/>
      <c r="L51" s="32" t="s">
        <v>28</v>
      </c>
    </row>
    <row r="52" spans="1:12" ht="24" customHeight="1">
      <c r="A52" s="1"/>
      <c r="B52" s="33" t="s">
        <v>14</v>
      </c>
      <c r="C52" s="25"/>
      <c r="D52" s="25"/>
      <c r="E52" s="25"/>
      <c r="F52" s="25"/>
      <c r="G52" s="34"/>
      <c r="H52" s="35" t="s">
        <v>29</v>
      </c>
      <c r="I52" s="36"/>
      <c r="J52" s="126" t="s">
        <v>29</v>
      </c>
      <c r="K52" s="124"/>
      <c r="L52" s="37" t="s">
        <v>29</v>
      </c>
    </row>
    <row r="53" spans="1:12" ht="24" customHeight="1">
      <c r="A53" s="1"/>
      <c r="B53" s="24" t="s">
        <v>30</v>
      </c>
      <c r="C53" s="2"/>
      <c r="D53" s="2"/>
      <c r="E53" s="2"/>
      <c r="F53" s="25"/>
      <c r="G53" s="27">
        <f>8*G45</f>
        <v>168</v>
      </c>
      <c r="H53" s="35" t="s">
        <v>31</v>
      </c>
      <c r="I53" s="36"/>
      <c r="J53" s="126" t="s">
        <v>31</v>
      </c>
      <c r="K53" s="124"/>
      <c r="L53" s="37" t="s">
        <v>31</v>
      </c>
    </row>
    <row r="54" spans="1:12" ht="24" customHeight="1">
      <c r="A54" s="1"/>
      <c r="B54" s="24" t="s">
        <v>32</v>
      </c>
      <c r="C54" s="2"/>
      <c r="D54" s="2"/>
      <c r="E54" s="2"/>
      <c r="F54" s="2"/>
      <c r="G54" s="26">
        <f>G43</f>
        <v>174.5</v>
      </c>
      <c r="H54" s="35" t="s">
        <v>33</v>
      </c>
      <c r="I54" s="36"/>
      <c r="J54" s="126" t="s">
        <v>33</v>
      </c>
      <c r="K54" s="124"/>
      <c r="L54" s="37" t="s">
        <v>33</v>
      </c>
    </row>
    <row r="55" spans="1:12" ht="22.95" customHeight="1" thickBot="1">
      <c r="A55" s="1"/>
      <c r="B55" s="38" t="s">
        <v>34</v>
      </c>
      <c r="C55" s="39"/>
      <c r="D55" s="39"/>
      <c r="E55" s="39"/>
      <c r="F55" s="39"/>
      <c r="G55" s="40">
        <f>G54/G53</f>
        <v>1.0386904761904763</v>
      </c>
      <c r="H55" s="41" t="s">
        <v>35</v>
      </c>
      <c r="I55" s="42"/>
      <c r="J55" s="127" t="s">
        <v>35</v>
      </c>
      <c r="K55" s="128"/>
      <c r="L55" s="43" t="s">
        <v>35</v>
      </c>
    </row>
    <row r="56" spans="1:12" ht="15.75" customHeight="1">
      <c r="A56" s="1"/>
      <c r="B56" s="44"/>
      <c r="C56" s="3"/>
      <c r="D56" s="45"/>
      <c r="E56" s="3"/>
      <c r="F56" s="4"/>
      <c r="G56" s="45"/>
      <c r="H56" s="44"/>
      <c r="I56" s="19"/>
      <c r="J56" s="20"/>
      <c r="K56" s="19"/>
      <c r="L56" s="20"/>
    </row>
    <row r="57" spans="1:12" ht="15.75" customHeight="1">
      <c r="A57" s="1"/>
      <c r="B57" s="28"/>
      <c r="C57" s="122" t="s">
        <v>36</v>
      </c>
      <c r="D57" s="124"/>
      <c r="E57" s="122" t="s">
        <v>37</v>
      </c>
      <c r="F57" s="125"/>
      <c r="G57" s="124"/>
      <c r="H57" s="122" t="s">
        <v>38</v>
      </c>
      <c r="I57" s="125"/>
      <c r="J57" s="124"/>
      <c r="K57" s="122" t="s">
        <v>39</v>
      </c>
      <c r="L57" s="124"/>
    </row>
    <row r="58" spans="1:12" ht="15.75" customHeight="1">
      <c r="A58" s="1"/>
      <c r="B58" s="46" t="s">
        <v>5</v>
      </c>
      <c r="C58" s="122"/>
      <c r="D58" s="123"/>
      <c r="E58" s="47"/>
      <c r="F58" s="1"/>
      <c r="G58" s="48"/>
      <c r="H58" s="47"/>
      <c r="I58" s="1"/>
      <c r="J58" s="48"/>
      <c r="K58" s="1"/>
      <c r="L58" s="48"/>
    </row>
    <row r="59" spans="1:12" ht="15.75" customHeight="1">
      <c r="A59" s="1"/>
      <c r="B59" s="49" t="s">
        <v>40</v>
      </c>
      <c r="C59" s="122"/>
      <c r="D59" s="123"/>
      <c r="E59" s="47"/>
      <c r="F59" s="1"/>
      <c r="G59" s="48"/>
      <c r="H59" s="47"/>
      <c r="I59" s="1"/>
      <c r="J59" s="48"/>
      <c r="K59" s="1"/>
      <c r="L59" s="48"/>
    </row>
    <row r="60" spans="1:12" ht="15.75" customHeight="1">
      <c r="A60" s="1"/>
      <c r="B60" s="50">
        <v>46257</v>
      </c>
      <c r="C60" s="122"/>
      <c r="D60" s="123"/>
      <c r="E60" s="47"/>
      <c r="F60" s="1"/>
      <c r="G60" s="48"/>
      <c r="H60" s="47"/>
      <c r="I60" s="1"/>
      <c r="J60" s="48"/>
      <c r="K60" s="1"/>
      <c r="L60" s="48"/>
    </row>
    <row r="61" spans="1:12" ht="15.75" customHeight="1">
      <c r="A61" s="51"/>
      <c r="B61" s="47"/>
      <c r="C61" s="122"/>
      <c r="D61" s="123"/>
      <c r="E61" s="47"/>
      <c r="F61" s="1"/>
      <c r="G61" s="48"/>
      <c r="H61" s="47"/>
      <c r="I61" s="1"/>
      <c r="J61" s="48"/>
      <c r="K61" s="1"/>
      <c r="L61" s="48"/>
    </row>
    <row r="62" spans="1:12" ht="15.75" customHeight="1">
      <c r="A62" s="1"/>
      <c r="B62" s="52"/>
      <c r="C62" s="172" t="s">
        <v>151</v>
      </c>
      <c r="D62" s="124"/>
      <c r="E62" s="170" t="s">
        <v>41</v>
      </c>
      <c r="F62" s="125"/>
      <c r="G62" s="124"/>
      <c r="H62" s="171" t="s">
        <v>145</v>
      </c>
      <c r="I62" s="125"/>
      <c r="J62" s="124"/>
      <c r="K62" s="170" t="s">
        <v>42</v>
      </c>
      <c r="L62" s="124"/>
    </row>
    <row r="63" spans="1:12" ht="15.75" customHeight="1" thickBot="1">
      <c r="A63" s="1"/>
      <c r="B63" s="53"/>
      <c r="C63" s="169"/>
      <c r="D63" s="128"/>
      <c r="E63" s="169" t="s">
        <v>43</v>
      </c>
      <c r="F63" s="132"/>
      <c r="G63" s="128"/>
      <c r="H63" s="169" t="s">
        <v>44</v>
      </c>
      <c r="I63" s="132"/>
      <c r="J63" s="128"/>
      <c r="K63" s="169" t="s">
        <v>45</v>
      </c>
      <c r="L63" s="128"/>
    </row>
    <row r="64" spans="1:12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  <c r="L64" s="1"/>
    </row>
    <row r="65" spans="1:12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  <c r="L65" s="1"/>
    </row>
    <row r="66" spans="1:12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  <c r="L66" s="1"/>
    </row>
    <row r="67" spans="1:12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  <c r="L67" s="1"/>
    </row>
    <row r="68" spans="1:12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  <c r="L68" s="1"/>
    </row>
    <row r="69" spans="1:12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  <c r="L69" s="1"/>
    </row>
    <row r="70" spans="1:12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  <c r="L70" s="1"/>
    </row>
    <row r="71" spans="1:12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  <c r="L71" s="1"/>
    </row>
    <row r="72" spans="1:12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  <c r="L72" s="1"/>
    </row>
    <row r="73" spans="1:12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  <c r="L73" s="1"/>
    </row>
    <row r="74" spans="1:12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  <c r="L74" s="1"/>
    </row>
    <row r="75" spans="1:12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  <c r="L75" s="1"/>
    </row>
    <row r="76" spans="1:12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  <c r="L76" s="1"/>
    </row>
    <row r="77" spans="1:12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  <c r="L77" s="1"/>
    </row>
    <row r="78" spans="1:12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  <c r="L78" s="1"/>
    </row>
    <row r="79" spans="1:12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  <c r="L79" s="1"/>
    </row>
    <row r="80" spans="1:12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  <c r="L81" s="1"/>
    </row>
    <row r="82" spans="1:12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2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  <c r="L84" s="1"/>
    </row>
    <row r="85" spans="1:12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  <c r="L85" s="1"/>
    </row>
    <row r="86" spans="1:12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  <c r="L86" s="1"/>
    </row>
    <row r="87" spans="1:12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  <c r="L87" s="1"/>
    </row>
    <row r="88" spans="1:12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  <c r="L88" s="1"/>
    </row>
    <row r="89" spans="1:12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  <c r="L89" s="1"/>
    </row>
    <row r="90" spans="1:12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  <c r="L90" s="1"/>
    </row>
    <row r="91" spans="1:12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  <c r="L91" s="1"/>
    </row>
    <row r="92" spans="1:12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  <c r="L92" s="1"/>
    </row>
    <row r="93" spans="1:12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  <c r="L93" s="1"/>
    </row>
    <row r="94" spans="1:12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  <c r="L94" s="1"/>
    </row>
    <row r="95" spans="1:12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  <c r="L95" s="1"/>
    </row>
    <row r="96" spans="1:12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  <c r="L96" s="1"/>
    </row>
    <row r="97" spans="1:12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  <c r="L97" s="1"/>
    </row>
    <row r="98" spans="1:12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  <c r="L98" s="1"/>
    </row>
    <row r="99" spans="1:12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  <c r="L99" s="1"/>
    </row>
    <row r="100" spans="1:12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  <c r="L100" s="1"/>
    </row>
    <row r="101" spans="1:12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  <c r="L101" s="1"/>
    </row>
    <row r="102" spans="1:12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  <c r="L102" s="1"/>
    </row>
    <row r="103" spans="1:12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  <c r="L103" s="1"/>
    </row>
    <row r="104" spans="1:12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  <c r="L104" s="1"/>
    </row>
    <row r="105" spans="1:12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  <c r="L105" s="1"/>
    </row>
    <row r="106" spans="1:12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  <c r="L106" s="1"/>
    </row>
    <row r="107" spans="1:12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  <c r="L107" s="1"/>
    </row>
    <row r="108" spans="1:12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  <c r="L108" s="1"/>
    </row>
    <row r="109" spans="1:12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  <c r="L109" s="1"/>
    </row>
    <row r="110" spans="1:12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  <c r="L110" s="1"/>
    </row>
    <row r="111" spans="1:12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  <c r="L111" s="1"/>
    </row>
    <row r="112" spans="1:12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  <c r="L112" s="1"/>
    </row>
    <row r="113" spans="1:12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  <c r="L113" s="1"/>
    </row>
    <row r="114" spans="1:12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  <c r="L114" s="1"/>
    </row>
    <row r="115" spans="1:12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  <c r="L115" s="1"/>
    </row>
    <row r="116" spans="1:12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  <c r="L116" s="1"/>
    </row>
    <row r="117" spans="1:12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  <c r="L117" s="1"/>
    </row>
    <row r="118" spans="1:12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  <c r="L118" s="1"/>
    </row>
    <row r="119" spans="1:12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  <c r="L119" s="1"/>
    </row>
    <row r="120" spans="1:12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  <c r="L120" s="1"/>
    </row>
    <row r="121" spans="1:12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  <c r="L121" s="1"/>
    </row>
    <row r="122" spans="1:12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  <c r="L122" s="1"/>
    </row>
    <row r="123" spans="1:12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  <c r="L123" s="1"/>
    </row>
    <row r="124" spans="1:12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  <c r="L124" s="1"/>
    </row>
    <row r="125" spans="1:12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  <c r="L125" s="1"/>
    </row>
    <row r="126" spans="1:12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  <c r="L126" s="1"/>
    </row>
    <row r="127" spans="1:12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  <c r="L127" s="1"/>
    </row>
    <row r="128" spans="1:12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  <c r="L128" s="1"/>
    </row>
    <row r="129" spans="1:12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  <c r="L129" s="1"/>
    </row>
    <row r="130" spans="1:12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  <c r="L130" s="1"/>
    </row>
    <row r="131" spans="1:12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  <c r="L131" s="1"/>
    </row>
    <row r="132" spans="1:12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  <c r="L132" s="1"/>
    </row>
    <row r="133" spans="1:12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  <c r="L133" s="1"/>
    </row>
    <row r="134" spans="1:12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  <c r="L134" s="1"/>
    </row>
    <row r="135" spans="1:12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  <c r="L135" s="1"/>
    </row>
    <row r="136" spans="1:12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  <c r="L136" s="1"/>
    </row>
    <row r="137" spans="1:12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  <c r="L137" s="1"/>
    </row>
    <row r="138" spans="1:12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  <c r="L138" s="1"/>
    </row>
    <row r="139" spans="1:12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  <c r="L139" s="1"/>
    </row>
    <row r="140" spans="1:12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  <c r="L140" s="1"/>
    </row>
    <row r="141" spans="1:12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  <c r="L141" s="1"/>
    </row>
    <row r="142" spans="1:12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  <c r="L142" s="1"/>
    </row>
    <row r="143" spans="1:12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  <c r="L143" s="1"/>
    </row>
    <row r="144" spans="1:12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  <c r="L144" s="1"/>
    </row>
    <row r="145" spans="1:12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  <c r="L145" s="1"/>
    </row>
    <row r="146" spans="1:12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  <c r="L146" s="1"/>
    </row>
    <row r="147" spans="1:12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  <c r="L147" s="1"/>
    </row>
    <row r="148" spans="1:12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  <c r="L148" s="1"/>
    </row>
    <row r="149" spans="1:12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  <c r="L149" s="1"/>
    </row>
    <row r="150" spans="1:12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  <c r="L150" s="1"/>
    </row>
    <row r="151" spans="1:12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  <c r="L151" s="1"/>
    </row>
    <row r="152" spans="1:12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  <c r="L152" s="1"/>
    </row>
    <row r="153" spans="1:12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  <c r="L153" s="1"/>
    </row>
    <row r="154" spans="1:12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  <c r="L154" s="1"/>
    </row>
    <row r="155" spans="1:12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  <c r="L155" s="1"/>
    </row>
    <row r="156" spans="1:12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  <c r="L156" s="1"/>
    </row>
    <row r="157" spans="1:12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  <c r="L157" s="1"/>
    </row>
    <row r="158" spans="1:12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  <c r="L158" s="1"/>
    </row>
    <row r="159" spans="1:12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  <c r="L159" s="1"/>
    </row>
    <row r="160" spans="1:12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  <c r="L160" s="1"/>
    </row>
    <row r="161" spans="1:12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  <c r="L161" s="1"/>
    </row>
    <row r="162" spans="1:12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  <c r="L162" s="1"/>
    </row>
    <row r="163" spans="1:12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  <c r="L163" s="1"/>
    </row>
    <row r="164" spans="1:12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  <c r="L164" s="1"/>
    </row>
    <row r="165" spans="1:12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  <c r="L165" s="1"/>
    </row>
    <row r="166" spans="1:12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  <c r="L166" s="1"/>
    </row>
    <row r="167" spans="1:12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  <c r="L167" s="1"/>
    </row>
    <row r="168" spans="1:12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  <c r="L168" s="1"/>
    </row>
    <row r="169" spans="1:12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  <c r="L169" s="1"/>
    </row>
    <row r="170" spans="1:12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  <c r="L170" s="1"/>
    </row>
    <row r="171" spans="1:12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  <c r="L171" s="1"/>
    </row>
    <row r="172" spans="1:12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  <c r="L172" s="1"/>
    </row>
    <row r="173" spans="1:12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  <c r="L173" s="1"/>
    </row>
    <row r="174" spans="1:12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  <c r="L174" s="1"/>
    </row>
    <row r="175" spans="1:12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  <c r="L175" s="1"/>
    </row>
    <row r="176" spans="1:12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  <c r="L176" s="1"/>
    </row>
    <row r="177" spans="1:12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  <c r="L177" s="1"/>
    </row>
    <row r="178" spans="1:12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  <c r="L178" s="1"/>
    </row>
    <row r="179" spans="1:12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  <c r="L179" s="1"/>
    </row>
    <row r="180" spans="1:12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  <c r="L180" s="1"/>
    </row>
    <row r="181" spans="1:12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  <c r="L181" s="1"/>
    </row>
    <row r="182" spans="1:12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  <c r="L182" s="1"/>
    </row>
    <row r="183" spans="1:12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  <c r="L183" s="1"/>
    </row>
    <row r="184" spans="1:12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  <c r="L184" s="1"/>
    </row>
    <row r="185" spans="1:12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  <c r="L185" s="1"/>
    </row>
    <row r="186" spans="1:12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  <c r="L186" s="1"/>
    </row>
    <row r="187" spans="1:12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  <c r="L187" s="1"/>
    </row>
    <row r="188" spans="1:12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  <c r="L188" s="1"/>
    </row>
    <row r="189" spans="1:12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  <c r="L189" s="1"/>
    </row>
    <row r="190" spans="1:12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  <c r="L190" s="1"/>
    </row>
    <row r="191" spans="1:12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  <c r="L191" s="1"/>
    </row>
    <row r="192" spans="1:12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  <c r="L192" s="1"/>
    </row>
    <row r="193" spans="1:12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  <c r="L193" s="1"/>
    </row>
    <row r="194" spans="1:12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  <c r="L194" s="1"/>
    </row>
    <row r="195" spans="1:12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  <c r="L195" s="1"/>
    </row>
    <row r="196" spans="1:12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  <c r="L196" s="1"/>
    </row>
    <row r="197" spans="1:12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  <c r="L197" s="1"/>
    </row>
    <row r="198" spans="1:12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  <c r="L198" s="1"/>
    </row>
    <row r="199" spans="1:12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  <c r="L199" s="1"/>
    </row>
    <row r="200" spans="1:12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  <c r="L200" s="1"/>
    </row>
    <row r="201" spans="1:12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  <c r="L201" s="1"/>
    </row>
    <row r="202" spans="1:12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  <c r="L202" s="1"/>
    </row>
    <row r="203" spans="1:12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  <c r="L203" s="1"/>
    </row>
    <row r="204" spans="1:12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  <c r="L204" s="1"/>
    </row>
    <row r="205" spans="1:12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  <c r="L205" s="1"/>
    </row>
    <row r="206" spans="1:12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  <c r="L206" s="1"/>
    </row>
    <row r="207" spans="1:12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  <c r="L207" s="1"/>
    </row>
    <row r="208" spans="1:12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  <c r="L208" s="1"/>
    </row>
    <row r="209" spans="1:12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  <c r="L209" s="1"/>
    </row>
    <row r="210" spans="1:12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  <c r="L210" s="1"/>
    </row>
    <row r="211" spans="1:12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  <c r="L211" s="1"/>
    </row>
    <row r="212" spans="1:12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  <c r="L212" s="1"/>
    </row>
    <row r="213" spans="1:12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  <c r="L213" s="1"/>
    </row>
    <row r="214" spans="1:12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  <c r="L214" s="1"/>
    </row>
    <row r="215" spans="1:12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  <c r="L215" s="1"/>
    </row>
    <row r="216" spans="1:12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  <c r="L216" s="1"/>
    </row>
    <row r="217" spans="1:12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  <c r="L217" s="1"/>
    </row>
    <row r="218" spans="1:12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  <c r="L218" s="1"/>
    </row>
    <row r="219" spans="1:12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  <c r="L219" s="1"/>
    </row>
    <row r="220" spans="1:12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  <c r="L220" s="1"/>
    </row>
    <row r="221" spans="1:12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  <c r="L221" s="1"/>
    </row>
    <row r="222" spans="1:12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  <c r="L222" s="1"/>
    </row>
    <row r="223" spans="1:12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  <c r="L223" s="1"/>
    </row>
    <row r="224" spans="1:12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  <c r="L224" s="1"/>
    </row>
    <row r="225" spans="1:12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  <c r="L225" s="1"/>
    </row>
    <row r="226" spans="1:12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  <c r="L226" s="1"/>
    </row>
    <row r="227" spans="1:12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  <c r="L227" s="1"/>
    </row>
    <row r="228" spans="1:12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  <c r="L228" s="1"/>
    </row>
    <row r="229" spans="1:12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  <c r="L229" s="1"/>
    </row>
    <row r="230" spans="1:12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  <c r="L230" s="1"/>
    </row>
    <row r="231" spans="1:12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  <c r="L231" s="1"/>
    </row>
    <row r="232" spans="1:12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  <c r="L232" s="1"/>
    </row>
    <row r="233" spans="1:12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  <c r="L233" s="1"/>
    </row>
    <row r="234" spans="1:12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  <c r="L234" s="1"/>
    </row>
    <row r="235" spans="1:12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  <c r="L235" s="1"/>
    </row>
    <row r="236" spans="1:12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  <c r="L236" s="1"/>
    </row>
    <row r="237" spans="1:12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  <c r="L237" s="1"/>
    </row>
    <row r="238" spans="1:12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  <c r="L238" s="1"/>
    </row>
    <row r="239" spans="1:12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  <c r="L239" s="1"/>
    </row>
    <row r="240" spans="1:12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  <c r="L240" s="1"/>
    </row>
    <row r="241" spans="1:12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  <c r="L241" s="1"/>
    </row>
    <row r="242" spans="1:12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  <c r="L242" s="1"/>
    </row>
    <row r="243" spans="1:12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  <c r="L243" s="1"/>
    </row>
    <row r="244" spans="1:12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  <c r="L244" s="1"/>
    </row>
    <row r="245" spans="1:12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  <c r="L245" s="1"/>
    </row>
    <row r="246" spans="1:12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  <c r="L246" s="1"/>
    </row>
    <row r="247" spans="1:12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  <c r="L247" s="1"/>
    </row>
    <row r="248" spans="1:12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  <c r="L248" s="1"/>
    </row>
    <row r="249" spans="1:12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  <c r="L249" s="1"/>
    </row>
    <row r="250" spans="1:12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  <c r="L250" s="1"/>
    </row>
    <row r="251" spans="1:12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  <c r="L251" s="1"/>
    </row>
    <row r="252" spans="1:12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  <c r="L252" s="1"/>
    </row>
    <row r="253" spans="1:12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  <c r="L253" s="1"/>
    </row>
    <row r="254" spans="1:12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  <c r="L254" s="1"/>
    </row>
    <row r="255" spans="1:12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  <c r="L255" s="1"/>
    </row>
    <row r="256" spans="1:12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  <c r="L256" s="1"/>
    </row>
    <row r="257" spans="1:12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  <c r="L257" s="1"/>
    </row>
    <row r="258" spans="1:12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  <c r="L258" s="1"/>
    </row>
    <row r="259" spans="1:12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  <c r="L259" s="1"/>
    </row>
    <row r="260" spans="1:12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  <c r="L260" s="1"/>
    </row>
    <row r="261" spans="1:12" ht="15.75" customHeight="1">
      <c r="A261" s="1"/>
      <c r="B261" s="1"/>
      <c r="C261" s="2"/>
      <c r="D261" s="2"/>
      <c r="E261" s="2"/>
      <c r="F261" s="2"/>
      <c r="G261" s="2"/>
      <c r="H261" s="1"/>
      <c r="I261" s="1"/>
      <c r="J261" s="1"/>
      <c r="K261" s="1"/>
      <c r="L261" s="1"/>
    </row>
    <row r="262" spans="1:12" ht="15.75" customHeight="1">
      <c r="A262" s="1"/>
      <c r="B262" s="1"/>
      <c r="C262" s="2"/>
      <c r="D262" s="2"/>
      <c r="E262" s="2"/>
      <c r="F262" s="2"/>
      <c r="G262" s="2"/>
      <c r="H262" s="1"/>
      <c r="I262" s="1"/>
      <c r="J262" s="1"/>
      <c r="K262" s="1"/>
      <c r="L262" s="1"/>
    </row>
    <row r="263" spans="1:12" ht="15.75" customHeight="1">
      <c r="B263" s="1"/>
      <c r="C263" s="2"/>
      <c r="D263" s="2"/>
      <c r="E263" s="2"/>
      <c r="F263" s="2"/>
      <c r="G263" s="2"/>
      <c r="H263" s="1"/>
      <c r="I263" s="1"/>
      <c r="J263" s="1"/>
      <c r="K263" s="1"/>
      <c r="L263" s="1"/>
    </row>
    <row r="264" spans="1:12" ht="15.75" customHeight="1"/>
    <row r="265" spans="1:12" ht="15.75" customHeight="1"/>
    <row r="266" spans="1:12" ht="15.75" customHeight="1"/>
    <row r="267" spans="1:12" ht="15.75" customHeight="1"/>
    <row r="268" spans="1:12" ht="15.75" customHeight="1"/>
    <row r="269" spans="1:12" ht="15.75" customHeight="1"/>
    <row r="270" spans="1:12" ht="15.75" customHeight="1"/>
    <row r="271" spans="1:12" ht="15.75" customHeight="1"/>
    <row r="272" spans="1:1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J13:L13"/>
    <mergeCell ref="J14:L14"/>
    <mergeCell ref="J15:L15"/>
    <mergeCell ref="J16:L16"/>
    <mergeCell ref="J26:L26"/>
    <mergeCell ref="J22:L22"/>
    <mergeCell ref="J23:L23"/>
    <mergeCell ref="J19:L19"/>
    <mergeCell ref="J20:L20"/>
    <mergeCell ref="J21:L21"/>
    <mergeCell ref="C63:D63"/>
    <mergeCell ref="E63:G63"/>
    <mergeCell ref="H63:J63"/>
    <mergeCell ref="K63:L63"/>
    <mergeCell ref="E62:G62"/>
    <mergeCell ref="H62:J62"/>
    <mergeCell ref="K62:L62"/>
    <mergeCell ref="C62:D62"/>
    <mergeCell ref="J34:L34"/>
    <mergeCell ref="J35:L35"/>
    <mergeCell ref="J36:L36"/>
    <mergeCell ref="J37:L37"/>
    <mergeCell ref="J27:L27"/>
    <mergeCell ref="J28:L28"/>
    <mergeCell ref="J29:L29"/>
    <mergeCell ref="J30:L30"/>
    <mergeCell ref="H7:H8"/>
    <mergeCell ref="I7:I8"/>
    <mergeCell ref="J7:L8"/>
    <mergeCell ref="J9:L9"/>
    <mergeCell ref="B2:D5"/>
    <mergeCell ref="E2:I3"/>
    <mergeCell ref="J2:L3"/>
    <mergeCell ref="E4:I4"/>
    <mergeCell ref="J4:L6"/>
    <mergeCell ref="F5:I5"/>
    <mergeCell ref="F6:I6"/>
    <mergeCell ref="B6:D6"/>
    <mergeCell ref="B7:B8"/>
    <mergeCell ref="C7:D7"/>
    <mergeCell ref="E7:F8"/>
    <mergeCell ref="G7:G8"/>
    <mergeCell ref="J12:L12"/>
    <mergeCell ref="C58:D61"/>
    <mergeCell ref="C57:D57"/>
    <mergeCell ref="E57:G57"/>
    <mergeCell ref="H57:J57"/>
    <mergeCell ref="K57:L57"/>
    <mergeCell ref="J52:K52"/>
    <mergeCell ref="J53:K53"/>
    <mergeCell ref="J54:K54"/>
    <mergeCell ref="J55:K55"/>
    <mergeCell ref="H45:L47"/>
    <mergeCell ref="H48:L48"/>
    <mergeCell ref="B43:F43"/>
    <mergeCell ref="J51:K51"/>
    <mergeCell ref="H49:L50"/>
    <mergeCell ref="H44:L44"/>
  </mergeCells>
  <pageMargins left="0.23622047244094491" right="0.19685039370078741" top="0.74803149606299213" bottom="0.74803149606299213" header="0.31496062992125984" footer="0.31496062992125984"/>
  <pageSetup paperSize="5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0"/>
  <sheetViews>
    <sheetView showGridLines="0" workbookViewId="0"/>
  </sheetViews>
  <sheetFormatPr defaultColWidth="14.44140625" defaultRowHeight="15" customHeight="1"/>
  <cols>
    <col min="1" max="1" width="2.21875" customWidth="1"/>
    <col min="2" max="2" width="23.44140625" customWidth="1"/>
    <col min="3" max="4" width="10.44140625" customWidth="1"/>
    <col min="5" max="6" width="8.77734375" customWidth="1"/>
    <col min="7" max="7" width="9.77734375" customWidth="1"/>
    <col min="8" max="8" width="29.44140625" customWidth="1"/>
    <col min="9" max="9" width="8.77734375" customWidth="1"/>
    <col min="10" max="10" width="18.77734375" customWidth="1"/>
    <col min="11" max="11" width="27.109375" customWidth="1"/>
    <col min="12" max="26" width="14" customWidth="1"/>
  </cols>
  <sheetData>
    <row r="1" spans="1:11" ht="14.4">
      <c r="A1" s="1"/>
      <c r="B1" s="1"/>
      <c r="C1" s="2"/>
      <c r="D1" s="2"/>
      <c r="E1" s="2"/>
      <c r="F1" s="2"/>
      <c r="G1" s="2"/>
      <c r="H1" s="1"/>
      <c r="I1" s="1"/>
      <c r="J1" s="1"/>
      <c r="K1" s="1"/>
    </row>
    <row r="2" spans="1:11" ht="14.4">
      <c r="A2" s="1"/>
      <c r="B2" s="145"/>
      <c r="C2" s="134"/>
      <c r="D2" s="148"/>
      <c r="E2" s="143" t="s">
        <v>0</v>
      </c>
      <c r="F2" s="134"/>
      <c r="G2" s="134"/>
      <c r="H2" s="148"/>
      <c r="I2" s="143" t="s">
        <v>1</v>
      </c>
      <c r="J2" s="134"/>
      <c r="K2" s="135"/>
    </row>
    <row r="3" spans="1:11" ht="14.4">
      <c r="A3" s="1"/>
      <c r="B3" s="130"/>
      <c r="C3" s="125"/>
      <c r="D3" s="173"/>
      <c r="E3" s="149"/>
      <c r="F3" s="147"/>
      <c r="G3" s="147"/>
      <c r="H3" s="150"/>
      <c r="I3" s="149"/>
      <c r="J3" s="147"/>
      <c r="K3" s="152"/>
    </row>
    <row r="4" spans="1:11" ht="14.4">
      <c r="A4" s="1"/>
      <c r="B4" s="130"/>
      <c r="C4" s="125"/>
      <c r="D4" s="173"/>
      <c r="E4" s="153" t="s">
        <v>46</v>
      </c>
      <c r="F4" s="154"/>
      <c r="G4" s="154"/>
      <c r="H4" s="155"/>
      <c r="I4" s="174" t="s">
        <v>47</v>
      </c>
      <c r="J4" s="157"/>
      <c r="K4" s="158"/>
    </row>
    <row r="5" spans="1:11" ht="14.4">
      <c r="A5" s="1"/>
      <c r="B5" s="146"/>
      <c r="C5" s="147"/>
      <c r="D5" s="150"/>
      <c r="E5" s="6" t="s">
        <v>2</v>
      </c>
      <c r="F5" s="159" t="s">
        <v>48</v>
      </c>
      <c r="G5" s="154"/>
      <c r="H5" s="155"/>
      <c r="I5" s="175"/>
      <c r="J5" s="125"/>
      <c r="K5" s="124"/>
    </row>
    <row r="6" spans="1:11" ht="14.4">
      <c r="A6" s="1"/>
      <c r="B6" s="179" t="s">
        <v>49</v>
      </c>
      <c r="C6" s="177"/>
      <c r="D6" s="178"/>
      <c r="E6" s="54" t="s">
        <v>4</v>
      </c>
      <c r="F6" s="176">
        <v>20230682322</v>
      </c>
      <c r="G6" s="177"/>
      <c r="H6" s="178"/>
      <c r="I6" s="144"/>
      <c r="J6" s="132"/>
      <c r="K6" s="128"/>
    </row>
    <row r="7" spans="1:11" ht="14.4">
      <c r="A7" s="1"/>
      <c r="B7" s="163" t="s">
        <v>5</v>
      </c>
      <c r="C7" s="165" t="s">
        <v>6</v>
      </c>
      <c r="D7" s="166"/>
      <c r="E7" s="145" t="s">
        <v>7</v>
      </c>
      <c r="F7" s="135"/>
      <c r="G7" s="180" t="s">
        <v>8</v>
      </c>
      <c r="H7" s="181" t="s">
        <v>9</v>
      </c>
      <c r="I7" s="151" t="s">
        <v>11</v>
      </c>
      <c r="J7" s="134"/>
      <c r="K7" s="135"/>
    </row>
    <row r="8" spans="1:11" ht="14.4">
      <c r="A8" s="1"/>
      <c r="B8" s="164"/>
      <c r="C8" s="8">
        <v>0.33333333333333331</v>
      </c>
      <c r="D8" s="55">
        <v>0.70833333333333337</v>
      </c>
      <c r="E8" s="131"/>
      <c r="F8" s="128"/>
      <c r="G8" s="132"/>
      <c r="H8" s="182"/>
      <c r="I8" s="132"/>
      <c r="J8" s="132"/>
      <c r="K8" s="128"/>
    </row>
    <row r="9" spans="1:11" ht="14.4">
      <c r="A9" s="2"/>
      <c r="B9" s="56" t="s">
        <v>50</v>
      </c>
      <c r="C9" s="57">
        <v>0.33333333333333331</v>
      </c>
      <c r="D9" s="58">
        <v>0.70833333333333337</v>
      </c>
      <c r="E9" s="59">
        <v>0.3298611111111111</v>
      </c>
      <c r="F9" s="60">
        <v>0.73263888888888884</v>
      </c>
      <c r="G9" s="61">
        <v>8</v>
      </c>
      <c r="H9" s="61" t="s">
        <v>51</v>
      </c>
      <c r="I9" s="183" t="s">
        <v>52</v>
      </c>
      <c r="J9" s="154"/>
      <c r="K9" s="184"/>
    </row>
    <row r="10" spans="1:11" ht="14.4">
      <c r="A10" s="9"/>
      <c r="B10" s="62" t="s">
        <v>53</v>
      </c>
      <c r="C10" s="63">
        <v>0.33333333333333331</v>
      </c>
      <c r="D10" s="64">
        <v>0.70833333333333337</v>
      </c>
      <c r="E10" s="65">
        <v>0.3215277777777778</v>
      </c>
      <c r="F10" s="66">
        <v>0.73819444444444449</v>
      </c>
      <c r="G10" s="17">
        <v>8</v>
      </c>
      <c r="H10" s="13" t="s">
        <v>51</v>
      </c>
      <c r="I10" s="183" t="s">
        <v>54</v>
      </c>
      <c r="J10" s="154"/>
      <c r="K10" s="184"/>
    </row>
    <row r="11" spans="1:11" ht="14.4">
      <c r="A11" s="2"/>
      <c r="B11" s="62" t="s">
        <v>55</v>
      </c>
      <c r="C11" s="15">
        <v>0.33333333333333331</v>
      </c>
      <c r="D11" s="16">
        <v>0.70833333333333337</v>
      </c>
      <c r="E11" s="65">
        <v>0.3263888888888889</v>
      </c>
      <c r="F11" s="66">
        <v>0.75416666666666665</v>
      </c>
      <c r="G11" s="17">
        <v>8</v>
      </c>
      <c r="H11" s="13" t="s">
        <v>51</v>
      </c>
      <c r="I11" s="183" t="s">
        <v>56</v>
      </c>
      <c r="J11" s="154"/>
      <c r="K11" s="184"/>
    </row>
    <row r="12" spans="1:11" ht="14.4">
      <c r="A12" s="2"/>
      <c r="B12" s="67" t="s">
        <v>57</v>
      </c>
      <c r="C12" s="11" t="s">
        <v>12</v>
      </c>
      <c r="D12" s="11" t="s">
        <v>12</v>
      </c>
      <c r="E12" s="68"/>
      <c r="F12" s="68"/>
      <c r="G12" s="17">
        <v>0</v>
      </c>
      <c r="H12" s="13"/>
      <c r="I12" s="183"/>
      <c r="J12" s="154"/>
      <c r="K12" s="184"/>
    </row>
    <row r="13" spans="1:11" ht="14.4">
      <c r="A13" s="2"/>
      <c r="B13" s="67" t="s">
        <v>58</v>
      </c>
      <c r="C13" s="11" t="s">
        <v>12</v>
      </c>
      <c r="D13" s="11" t="s">
        <v>12</v>
      </c>
      <c r="E13" s="68"/>
      <c r="F13" s="68"/>
      <c r="G13" s="17">
        <v>0</v>
      </c>
      <c r="H13" s="13"/>
      <c r="I13" s="183"/>
      <c r="J13" s="154"/>
      <c r="K13" s="184"/>
    </row>
    <row r="14" spans="1:11" ht="14.4">
      <c r="A14" s="2"/>
      <c r="B14" s="62" t="s">
        <v>59</v>
      </c>
      <c r="C14" s="15">
        <v>0.33333333333333331</v>
      </c>
      <c r="D14" s="16">
        <v>0.70833333333333337</v>
      </c>
      <c r="E14" s="65">
        <v>0.33611111111111114</v>
      </c>
      <c r="F14" s="66">
        <v>0.81527777777777777</v>
      </c>
      <c r="G14" s="11">
        <v>8</v>
      </c>
      <c r="H14" s="11" t="s">
        <v>51</v>
      </c>
      <c r="I14" s="183" t="s">
        <v>54</v>
      </c>
      <c r="J14" s="154"/>
      <c r="K14" s="184"/>
    </row>
    <row r="15" spans="1:11" ht="14.4">
      <c r="A15" s="2"/>
      <c r="B15" s="62" t="s">
        <v>60</v>
      </c>
      <c r="C15" s="15">
        <v>0.33333333333333331</v>
      </c>
      <c r="D15" s="15">
        <v>0.70833333333333337</v>
      </c>
      <c r="E15" s="66">
        <v>0.32916666666666666</v>
      </c>
      <c r="F15" s="66">
        <v>0.76875000000000004</v>
      </c>
      <c r="G15" s="11">
        <v>8</v>
      </c>
      <c r="H15" s="11" t="s">
        <v>51</v>
      </c>
      <c r="I15" s="183" t="s">
        <v>61</v>
      </c>
      <c r="J15" s="154"/>
      <c r="K15" s="184"/>
    </row>
    <row r="16" spans="1:11" ht="14.4">
      <c r="A16" s="2"/>
      <c r="B16" s="67" t="s">
        <v>62</v>
      </c>
      <c r="C16" s="15">
        <v>0.33333333333333331</v>
      </c>
      <c r="D16" s="15">
        <v>0.70833333333333337</v>
      </c>
      <c r="E16" s="11"/>
      <c r="F16" s="11"/>
      <c r="G16" s="11">
        <v>0</v>
      </c>
      <c r="H16" s="11"/>
      <c r="I16" s="185"/>
      <c r="J16" s="154"/>
      <c r="K16" s="184"/>
    </row>
    <row r="17" spans="1:11" ht="14.4">
      <c r="A17" s="2"/>
      <c r="B17" s="62" t="s">
        <v>63</v>
      </c>
      <c r="C17" s="15">
        <v>0.33333333333333331</v>
      </c>
      <c r="D17" s="16">
        <v>0.70833333333333337</v>
      </c>
      <c r="E17" s="65">
        <v>0.3263888888888889</v>
      </c>
      <c r="F17" s="66">
        <v>0.73402777777777772</v>
      </c>
      <c r="G17" s="11">
        <v>8</v>
      </c>
      <c r="H17" s="11" t="s">
        <v>51</v>
      </c>
      <c r="I17" s="183" t="s">
        <v>61</v>
      </c>
      <c r="J17" s="154"/>
      <c r="K17" s="184"/>
    </row>
    <row r="18" spans="1:11" ht="14.4">
      <c r="A18" s="2"/>
      <c r="B18" s="62" t="s">
        <v>64</v>
      </c>
      <c r="C18" s="15">
        <v>0.33333333333333331</v>
      </c>
      <c r="D18" s="15">
        <v>0.70833333333333337</v>
      </c>
      <c r="E18" s="66">
        <v>0.33194444444444443</v>
      </c>
      <c r="F18" s="66">
        <v>0.73402777777777772</v>
      </c>
      <c r="G18" s="11">
        <v>8</v>
      </c>
      <c r="H18" s="11" t="s">
        <v>51</v>
      </c>
      <c r="I18" s="183" t="s">
        <v>61</v>
      </c>
      <c r="J18" s="154"/>
      <c r="K18" s="184"/>
    </row>
    <row r="19" spans="1:11" ht="14.4">
      <c r="A19" s="2"/>
      <c r="B19" s="67" t="s">
        <v>65</v>
      </c>
      <c r="C19" s="11" t="s">
        <v>12</v>
      </c>
      <c r="D19" s="11" t="s">
        <v>12</v>
      </c>
      <c r="E19" s="68"/>
      <c r="F19" s="68"/>
      <c r="G19" s="11">
        <v>0</v>
      </c>
      <c r="H19" s="11"/>
      <c r="I19" s="185"/>
      <c r="J19" s="154"/>
      <c r="K19" s="184"/>
    </row>
    <row r="20" spans="1:11" ht="14.4">
      <c r="A20" s="2"/>
      <c r="B20" s="67" t="s">
        <v>66</v>
      </c>
      <c r="C20" s="11" t="s">
        <v>12</v>
      </c>
      <c r="D20" s="11" t="s">
        <v>12</v>
      </c>
      <c r="E20" s="68"/>
      <c r="F20" s="68"/>
      <c r="G20" s="11">
        <v>0</v>
      </c>
      <c r="H20" s="11"/>
      <c r="I20" s="185"/>
      <c r="J20" s="154"/>
      <c r="K20" s="184"/>
    </row>
    <row r="21" spans="1:11" ht="15.75" customHeight="1">
      <c r="A21" s="2"/>
      <c r="B21" s="62" t="s">
        <v>67</v>
      </c>
      <c r="C21" s="15">
        <v>0.33333333333333331</v>
      </c>
      <c r="D21" s="16">
        <v>0.70833333333333337</v>
      </c>
      <c r="E21" s="65">
        <v>0.32916666666666666</v>
      </c>
      <c r="F21" s="66">
        <v>0.73472222222222228</v>
      </c>
      <c r="G21" s="11">
        <v>8</v>
      </c>
      <c r="H21" s="11" t="s">
        <v>51</v>
      </c>
      <c r="I21" s="183" t="s">
        <v>68</v>
      </c>
      <c r="J21" s="154"/>
      <c r="K21" s="184"/>
    </row>
    <row r="22" spans="1:11" ht="15.75" customHeight="1">
      <c r="A22" s="2"/>
      <c r="B22" s="62" t="s">
        <v>69</v>
      </c>
      <c r="C22" s="15">
        <v>0.33333333333333331</v>
      </c>
      <c r="D22" s="15">
        <v>0.70833333333333337</v>
      </c>
      <c r="E22" s="66">
        <v>0.33263888888888887</v>
      </c>
      <c r="F22" s="66">
        <v>0.73333333333333328</v>
      </c>
      <c r="G22" s="11">
        <v>8</v>
      </c>
      <c r="H22" s="11" t="s">
        <v>51</v>
      </c>
      <c r="I22" s="183" t="s">
        <v>52</v>
      </c>
      <c r="J22" s="154"/>
      <c r="K22" s="184"/>
    </row>
    <row r="23" spans="1:11" ht="15.75" customHeight="1">
      <c r="A23" s="2"/>
      <c r="B23" s="62" t="s">
        <v>70</v>
      </c>
      <c r="C23" s="15">
        <v>0.33333333333333331</v>
      </c>
      <c r="D23" s="15">
        <v>0.70833333333333337</v>
      </c>
      <c r="E23" s="66">
        <v>0.33194444444444443</v>
      </c>
      <c r="F23" s="66">
        <v>0.75624999999999998</v>
      </c>
      <c r="G23" s="11">
        <v>8</v>
      </c>
      <c r="H23" s="11" t="s">
        <v>51</v>
      </c>
      <c r="I23" s="183" t="s">
        <v>52</v>
      </c>
      <c r="J23" s="154"/>
      <c r="K23" s="184"/>
    </row>
    <row r="24" spans="1:11" ht="15.75" customHeight="1">
      <c r="A24" s="2"/>
      <c r="B24" s="62" t="s">
        <v>71</v>
      </c>
      <c r="C24" s="15">
        <v>0.33333333333333331</v>
      </c>
      <c r="D24" s="15">
        <v>0.70833333333333337</v>
      </c>
      <c r="E24" s="66">
        <v>0.3298611111111111</v>
      </c>
      <c r="F24" s="66">
        <v>0.73402777777777772</v>
      </c>
      <c r="G24" s="11">
        <v>8</v>
      </c>
      <c r="H24" s="11" t="s">
        <v>51</v>
      </c>
      <c r="I24" s="183" t="s">
        <v>72</v>
      </c>
      <c r="J24" s="154"/>
      <c r="K24" s="184"/>
    </row>
    <row r="25" spans="1:11" ht="15.75" customHeight="1">
      <c r="A25" s="2"/>
      <c r="B25" s="62" t="s">
        <v>73</v>
      </c>
      <c r="C25" s="15">
        <v>0.33333333333333331</v>
      </c>
      <c r="D25" s="15">
        <v>0.70833333333333337</v>
      </c>
      <c r="E25" s="66">
        <v>0.33055555555555555</v>
      </c>
      <c r="F25" s="66">
        <v>0.72638888888888886</v>
      </c>
      <c r="G25" s="11">
        <v>8</v>
      </c>
      <c r="H25" s="11" t="s">
        <v>51</v>
      </c>
      <c r="I25" s="183" t="s">
        <v>74</v>
      </c>
      <c r="J25" s="154"/>
      <c r="K25" s="184"/>
    </row>
    <row r="26" spans="1:11" ht="15.75" customHeight="1">
      <c r="A26" s="2"/>
      <c r="B26" s="67" t="s">
        <v>75</v>
      </c>
      <c r="C26" s="11" t="s">
        <v>12</v>
      </c>
      <c r="D26" s="11" t="s">
        <v>12</v>
      </c>
      <c r="E26" s="69"/>
      <c r="F26" s="69"/>
      <c r="G26" s="11">
        <v>0</v>
      </c>
      <c r="H26" s="11"/>
      <c r="I26" s="185"/>
      <c r="J26" s="154"/>
      <c r="K26" s="184"/>
    </row>
    <row r="27" spans="1:11" ht="15.75" customHeight="1">
      <c r="A27" s="2"/>
      <c r="B27" s="67" t="s">
        <v>76</v>
      </c>
      <c r="C27" s="11" t="s">
        <v>12</v>
      </c>
      <c r="D27" s="11" t="s">
        <v>12</v>
      </c>
      <c r="E27" s="68"/>
      <c r="F27" s="68"/>
      <c r="G27" s="11">
        <v>0</v>
      </c>
      <c r="H27" s="11"/>
      <c r="I27" s="185"/>
      <c r="J27" s="154"/>
      <c r="K27" s="184"/>
    </row>
    <row r="28" spans="1:11" ht="15.75" customHeight="1">
      <c r="A28" s="2"/>
      <c r="B28" s="62" t="s">
        <v>77</v>
      </c>
      <c r="C28" s="15">
        <v>0.33333333333333331</v>
      </c>
      <c r="D28" s="15">
        <v>0.70833333333333337</v>
      </c>
      <c r="E28" s="66">
        <v>0.32916666666666666</v>
      </c>
      <c r="F28" s="66">
        <v>0.72638888888888886</v>
      </c>
      <c r="G28" s="11">
        <v>8</v>
      </c>
      <c r="H28" s="11" t="s">
        <v>51</v>
      </c>
      <c r="I28" s="183" t="s">
        <v>78</v>
      </c>
      <c r="J28" s="154"/>
      <c r="K28" s="184"/>
    </row>
    <row r="29" spans="1:11" ht="15.75" customHeight="1">
      <c r="A29" s="2"/>
      <c r="B29" s="62" t="s">
        <v>79</v>
      </c>
      <c r="C29" s="15">
        <v>0.33333333333333331</v>
      </c>
      <c r="D29" s="15">
        <v>0.70833333333333337</v>
      </c>
      <c r="E29" s="66">
        <v>0.3298611111111111</v>
      </c>
      <c r="F29" s="66">
        <v>0.72916666666666663</v>
      </c>
      <c r="G29" s="11">
        <v>8</v>
      </c>
      <c r="H29" s="11" t="s">
        <v>51</v>
      </c>
      <c r="I29" s="183" t="s">
        <v>80</v>
      </c>
      <c r="J29" s="154"/>
      <c r="K29" s="184"/>
    </row>
    <row r="30" spans="1:11" ht="15.75" customHeight="1">
      <c r="A30" s="2"/>
      <c r="B30" s="62" t="s">
        <v>81</v>
      </c>
      <c r="C30" s="63">
        <v>0.33333333333333331</v>
      </c>
      <c r="D30" s="12">
        <v>0.70833333333333337</v>
      </c>
      <c r="E30" s="66">
        <v>0.33124999999999999</v>
      </c>
      <c r="F30" s="66">
        <v>0.73819444444444449</v>
      </c>
      <c r="G30" s="11">
        <v>8</v>
      </c>
      <c r="H30" s="11" t="s">
        <v>51</v>
      </c>
      <c r="I30" s="183" t="s">
        <v>82</v>
      </c>
      <c r="J30" s="154"/>
      <c r="K30" s="184"/>
    </row>
    <row r="31" spans="1:11" ht="15.75" customHeight="1">
      <c r="A31" s="2"/>
      <c r="B31" s="62" t="s">
        <v>83</v>
      </c>
      <c r="C31" s="63">
        <v>0.33333333333333331</v>
      </c>
      <c r="D31" s="12">
        <v>0.70833333333333337</v>
      </c>
      <c r="E31" s="66">
        <v>0.32847222222222222</v>
      </c>
      <c r="F31" s="66">
        <v>0.72916666666666663</v>
      </c>
      <c r="G31" s="11">
        <v>8</v>
      </c>
      <c r="H31" s="11" t="s">
        <v>51</v>
      </c>
      <c r="I31" s="183" t="s">
        <v>84</v>
      </c>
      <c r="J31" s="154"/>
      <c r="K31" s="184"/>
    </row>
    <row r="32" spans="1:11" ht="15.75" customHeight="1">
      <c r="A32" s="2"/>
      <c r="B32" s="62" t="s">
        <v>85</v>
      </c>
      <c r="C32" s="15">
        <v>0.33333333333333331</v>
      </c>
      <c r="D32" s="15">
        <v>0.70833333333333337</v>
      </c>
      <c r="E32" s="66">
        <v>0.3298611111111111</v>
      </c>
      <c r="F32" s="66">
        <v>0.7583333333333333</v>
      </c>
      <c r="G32" s="11">
        <v>8</v>
      </c>
      <c r="H32" s="11" t="s">
        <v>51</v>
      </c>
      <c r="I32" s="183" t="s">
        <v>86</v>
      </c>
      <c r="J32" s="154"/>
      <c r="K32" s="184"/>
    </row>
    <row r="33" spans="1:11" ht="15.75" customHeight="1">
      <c r="A33" s="2"/>
      <c r="B33" s="67" t="s">
        <v>87</v>
      </c>
      <c r="C33" s="11" t="s">
        <v>12</v>
      </c>
      <c r="D33" s="11" t="s">
        <v>12</v>
      </c>
      <c r="E33" s="68"/>
      <c r="F33" s="68"/>
      <c r="G33" s="11">
        <v>0</v>
      </c>
      <c r="H33" s="11"/>
      <c r="I33" s="185"/>
      <c r="J33" s="154"/>
      <c r="K33" s="184"/>
    </row>
    <row r="34" spans="1:11" ht="15.75" customHeight="1">
      <c r="A34" s="2"/>
      <c r="B34" s="67" t="s">
        <v>88</v>
      </c>
      <c r="C34" s="11" t="s">
        <v>12</v>
      </c>
      <c r="D34" s="11" t="s">
        <v>12</v>
      </c>
      <c r="E34" s="68"/>
      <c r="F34" s="68"/>
      <c r="G34" s="11">
        <v>0</v>
      </c>
      <c r="H34" s="11"/>
      <c r="I34" s="185"/>
      <c r="J34" s="154"/>
      <c r="K34" s="184"/>
    </row>
    <row r="35" spans="1:11" ht="15.75" customHeight="1">
      <c r="A35" s="2"/>
      <c r="B35" s="62" t="s">
        <v>89</v>
      </c>
      <c r="C35" s="15">
        <v>0.33333333333333331</v>
      </c>
      <c r="D35" s="15">
        <v>0.70833333333333337</v>
      </c>
      <c r="E35" s="66">
        <v>0.33124999999999999</v>
      </c>
      <c r="F35" s="66">
        <v>0.74305555555555558</v>
      </c>
      <c r="G35" s="11">
        <v>8</v>
      </c>
      <c r="H35" s="11" t="s">
        <v>51</v>
      </c>
      <c r="I35" s="183" t="s">
        <v>90</v>
      </c>
      <c r="J35" s="154"/>
      <c r="K35" s="184"/>
    </row>
    <row r="36" spans="1:11" ht="15.75" customHeight="1">
      <c r="A36" s="2"/>
      <c r="B36" s="62" t="s">
        <v>91</v>
      </c>
      <c r="C36" s="15">
        <v>0.33333333333333331</v>
      </c>
      <c r="D36" s="15">
        <v>0.70833333333333337</v>
      </c>
      <c r="E36" s="66">
        <v>0.3263888888888889</v>
      </c>
      <c r="F36" s="66">
        <v>0.75972222222222219</v>
      </c>
      <c r="G36" s="11">
        <v>8</v>
      </c>
      <c r="H36" s="11" t="s">
        <v>51</v>
      </c>
      <c r="I36" s="183" t="s">
        <v>52</v>
      </c>
      <c r="J36" s="154"/>
      <c r="K36" s="184"/>
    </row>
    <row r="37" spans="1:11" ht="15.75" customHeight="1">
      <c r="A37" s="2"/>
      <c r="B37" s="62" t="s">
        <v>92</v>
      </c>
      <c r="C37" s="63">
        <v>0.33333333333333331</v>
      </c>
      <c r="D37" s="12">
        <v>0.70833333333333337</v>
      </c>
      <c r="E37" s="66">
        <v>0.33333333333333331</v>
      </c>
      <c r="F37" s="66">
        <v>0.73124999999999996</v>
      </c>
      <c r="G37" s="11">
        <v>8</v>
      </c>
      <c r="H37" s="11" t="s">
        <v>51</v>
      </c>
      <c r="I37" s="183" t="s">
        <v>68</v>
      </c>
      <c r="J37" s="154"/>
      <c r="K37" s="184"/>
    </row>
    <row r="38" spans="1:11" ht="15.75" customHeight="1">
      <c r="A38" s="2"/>
      <c r="B38" s="62" t="s">
        <v>93</v>
      </c>
      <c r="C38" s="63">
        <v>0.33333333333333331</v>
      </c>
      <c r="D38" s="12">
        <v>0.70833333333333337</v>
      </c>
      <c r="E38" s="70">
        <v>0.32916666666666666</v>
      </c>
      <c r="F38" s="70">
        <v>0.72291666666666665</v>
      </c>
      <c r="G38" s="11">
        <v>8</v>
      </c>
      <c r="H38" s="11" t="s">
        <v>51</v>
      </c>
      <c r="I38" s="183" t="s">
        <v>94</v>
      </c>
      <c r="J38" s="154"/>
      <c r="K38" s="184"/>
    </row>
    <row r="39" spans="1:11" ht="15.75" customHeight="1">
      <c r="A39" s="2"/>
      <c r="B39" s="71" t="s">
        <v>95</v>
      </c>
      <c r="C39" s="72">
        <v>0.33333333333333331</v>
      </c>
      <c r="D39" s="73">
        <v>0.70833333333333337</v>
      </c>
      <c r="E39" s="74">
        <v>0.33333333333333331</v>
      </c>
      <c r="F39" s="74">
        <v>0.75972222222222219</v>
      </c>
      <c r="G39" s="75">
        <v>8</v>
      </c>
      <c r="H39" s="75" t="s">
        <v>51</v>
      </c>
      <c r="I39" s="187" t="s">
        <v>94</v>
      </c>
      <c r="J39" s="157"/>
      <c r="K39" s="158"/>
    </row>
    <row r="40" spans="1:11" ht="18" customHeight="1">
      <c r="A40" s="1"/>
      <c r="B40" s="136" t="s">
        <v>13</v>
      </c>
      <c r="C40" s="188"/>
      <c r="D40" s="188"/>
      <c r="E40" s="188"/>
      <c r="F40" s="189"/>
      <c r="G40" s="18">
        <f>SUM(G9:G39)</f>
        <v>176</v>
      </c>
      <c r="H40" s="19"/>
      <c r="I40" s="19"/>
      <c r="J40" s="19"/>
      <c r="K40" s="20"/>
    </row>
    <row r="41" spans="1:11" ht="18" customHeight="1">
      <c r="A41" s="1"/>
      <c r="B41" s="21" t="s">
        <v>14</v>
      </c>
      <c r="C41" s="22"/>
      <c r="D41" s="22"/>
      <c r="E41" s="22"/>
      <c r="F41" s="22"/>
      <c r="G41" s="23"/>
      <c r="H41" s="190" t="s">
        <v>15</v>
      </c>
      <c r="I41" s="134"/>
      <c r="J41" s="134"/>
      <c r="K41" s="135"/>
    </row>
    <row r="42" spans="1:11" ht="20.25" customHeight="1">
      <c r="A42" s="1"/>
      <c r="B42" s="24" t="s">
        <v>96</v>
      </c>
      <c r="C42" s="25"/>
      <c r="D42" s="25"/>
      <c r="E42" s="25"/>
      <c r="F42" s="25"/>
      <c r="G42" s="26">
        <v>22</v>
      </c>
      <c r="H42" s="191" t="s">
        <v>17</v>
      </c>
      <c r="I42" s="125"/>
      <c r="J42" s="125"/>
      <c r="K42" s="124"/>
    </row>
    <row r="43" spans="1:11" ht="20.25" customHeight="1">
      <c r="A43" s="1"/>
      <c r="B43" s="24" t="s">
        <v>97</v>
      </c>
      <c r="C43" s="25"/>
      <c r="D43" s="25"/>
      <c r="E43" s="25"/>
      <c r="F43" s="25"/>
      <c r="G43" s="27">
        <v>9</v>
      </c>
      <c r="H43" s="125"/>
      <c r="I43" s="125"/>
      <c r="J43" s="125"/>
      <c r="K43" s="124"/>
    </row>
    <row r="44" spans="1:11" ht="20.25" customHeight="1">
      <c r="A44" s="1"/>
      <c r="B44" s="24" t="s">
        <v>98</v>
      </c>
      <c r="C44" s="25"/>
      <c r="D44" s="25"/>
      <c r="E44" s="25"/>
      <c r="F44" s="25"/>
      <c r="G44" s="27" t="s">
        <v>12</v>
      </c>
      <c r="H44" s="132"/>
      <c r="I44" s="132"/>
      <c r="J44" s="132"/>
      <c r="K44" s="128"/>
    </row>
    <row r="45" spans="1:11" ht="20.25" customHeight="1">
      <c r="A45" s="1"/>
      <c r="B45" s="24" t="s">
        <v>99</v>
      </c>
      <c r="C45" s="25"/>
      <c r="D45" s="25"/>
      <c r="E45" s="25"/>
      <c r="F45" s="25"/>
      <c r="G45" s="27" t="s">
        <v>12</v>
      </c>
      <c r="H45" s="76" t="s">
        <v>21</v>
      </c>
      <c r="I45" s="19"/>
      <c r="J45" s="19"/>
      <c r="K45" s="20"/>
    </row>
    <row r="46" spans="1:11" ht="20.25" customHeight="1">
      <c r="A46" s="1"/>
      <c r="B46" s="24" t="s">
        <v>100</v>
      </c>
      <c r="C46" s="25"/>
      <c r="D46" s="25"/>
      <c r="E46" s="25"/>
      <c r="F46" s="25"/>
      <c r="G46" s="27" t="s">
        <v>12</v>
      </c>
      <c r="H46" s="186" t="s">
        <v>23</v>
      </c>
      <c r="I46" s="1"/>
      <c r="J46" s="1"/>
      <c r="K46" s="48"/>
    </row>
    <row r="47" spans="1:11" ht="20.25" customHeight="1">
      <c r="A47" s="1"/>
      <c r="B47" s="24" t="s">
        <v>101</v>
      </c>
      <c r="C47" s="25"/>
      <c r="D47" s="25"/>
      <c r="E47" s="25"/>
      <c r="F47" s="25"/>
      <c r="G47" s="27">
        <v>22</v>
      </c>
      <c r="H47" s="132"/>
      <c r="I47" s="1"/>
      <c r="J47" s="1"/>
      <c r="K47" s="48"/>
    </row>
    <row r="48" spans="1:11" ht="20.25" customHeight="1">
      <c r="A48" s="1"/>
      <c r="B48" s="24" t="s">
        <v>102</v>
      </c>
      <c r="C48" s="25"/>
      <c r="D48" s="25"/>
      <c r="E48" s="25"/>
      <c r="F48" s="25"/>
      <c r="G48" s="29">
        <f>G47/G42</f>
        <v>1</v>
      </c>
      <c r="H48" s="77" t="s">
        <v>26</v>
      </c>
      <c r="I48" s="139" t="s">
        <v>27</v>
      </c>
      <c r="J48" s="140"/>
      <c r="K48" s="32" t="s">
        <v>28</v>
      </c>
    </row>
    <row r="49" spans="1:11" ht="24" customHeight="1">
      <c r="A49" s="1"/>
      <c r="B49" s="33" t="s">
        <v>14</v>
      </c>
      <c r="C49" s="25"/>
      <c r="D49" s="25"/>
      <c r="E49" s="25"/>
      <c r="F49" s="25"/>
      <c r="G49" s="34"/>
      <c r="H49" s="35" t="s">
        <v>29</v>
      </c>
      <c r="I49" s="126" t="s">
        <v>29</v>
      </c>
      <c r="J49" s="124"/>
      <c r="K49" s="37" t="s">
        <v>29</v>
      </c>
    </row>
    <row r="50" spans="1:11" ht="24" customHeight="1">
      <c r="A50" s="1"/>
      <c r="B50" s="24" t="s">
        <v>103</v>
      </c>
      <c r="C50" s="2"/>
      <c r="D50" s="2"/>
      <c r="E50" s="2"/>
      <c r="F50" s="25"/>
      <c r="G50" s="27">
        <f>8*G42</f>
        <v>176</v>
      </c>
      <c r="H50" s="35" t="s">
        <v>31</v>
      </c>
      <c r="I50" s="126" t="s">
        <v>31</v>
      </c>
      <c r="J50" s="124"/>
      <c r="K50" s="37" t="s">
        <v>31</v>
      </c>
    </row>
    <row r="51" spans="1:11" ht="24" customHeight="1">
      <c r="A51" s="1"/>
      <c r="B51" s="24" t="s">
        <v>104</v>
      </c>
      <c r="C51" s="2"/>
      <c r="D51" s="2"/>
      <c r="E51" s="2"/>
      <c r="F51" s="2"/>
      <c r="G51" s="26">
        <f>G40</f>
        <v>176</v>
      </c>
      <c r="H51" s="35" t="s">
        <v>33</v>
      </c>
      <c r="I51" s="126" t="s">
        <v>33</v>
      </c>
      <c r="J51" s="124"/>
      <c r="K51" s="37" t="s">
        <v>33</v>
      </c>
    </row>
    <row r="52" spans="1:11" ht="24" customHeight="1">
      <c r="A52" s="1"/>
      <c r="B52" s="38" t="s">
        <v>105</v>
      </c>
      <c r="C52" s="39"/>
      <c r="D52" s="39"/>
      <c r="E52" s="39"/>
      <c r="F52" s="39"/>
      <c r="G52" s="40">
        <f>G51/G50</f>
        <v>1</v>
      </c>
      <c r="H52" s="41" t="s">
        <v>35</v>
      </c>
      <c r="I52" s="127" t="s">
        <v>35</v>
      </c>
      <c r="J52" s="128"/>
      <c r="K52" s="43" t="s">
        <v>35</v>
      </c>
    </row>
    <row r="53" spans="1:11" ht="5.25" customHeight="1">
      <c r="A53" s="1"/>
      <c r="B53" s="44"/>
      <c r="C53" s="3"/>
      <c r="D53" s="45"/>
      <c r="E53" s="3"/>
      <c r="F53" s="4"/>
      <c r="G53" s="45"/>
      <c r="H53" s="44"/>
      <c r="I53" s="20"/>
      <c r="J53" s="19"/>
      <c r="K53" s="20"/>
    </row>
    <row r="54" spans="1:11" ht="15.75" customHeight="1">
      <c r="A54" s="1"/>
      <c r="B54" s="28" t="s">
        <v>5</v>
      </c>
      <c r="C54" s="122" t="s">
        <v>36</v>
      </c>
      <c r="D54" s="124"/>
      <c r="E54" s="122" t="s">
        <v>37</v>
      </c>
      <c r="F54" s="125"/>
      <c r="G54" s="124"/>
      <c r="H54" s="122" t="s">
        <v>38</v>
      </c>
      <c r="I54" s="124"/>
      <c r="J54" s="122" t="s">
        <v>106</v>
      </c>
      <c r="K54" s="124"/>
    </row>
    <row r="55" spans="1:11" ht="15.75" customHeight="1">
      <c r="A55" s="1"/>
      <c r="B55" s="47"/>
      <c r="C55" s="47"/>
      <c r="D55" s="48"/>
      <c r="E55" s="47"/>
      <c r="F55" s="1"/>
      <c r="G55" s="48"/>
      <c r="H55" s="47"/>
      <c r="I55" s="48"/>
      <c r="J55" s="1"/>
      <c r="K55" s="48"/>
    </row>
    <row r="56" spans="1:11" ht="15.75" customHeight="1">
      <c r="A56" s="1"/>
      <c r="B56" s="47"/>
      <c r="C56" s="47"/>
      <c r="D56" s="48"/>
      <c r="E56" s="47"/>
      <c r="F56" s="1"/>
      <c r="G56" s="48"/>
      <c r="H56" s="47"/>
      <c r="I56" s="48"/>
      <c r="J56" s="1"/>
      <c r="K56" s="48"/>
    </row>
    <row r="57" spans="1:11" ht="15.75" customHeight="1">
      <c r="A57" s="1"/>
      <c r="B57" s="78"/>
      <c r="C57" s="47"/>
      <c r="D57" s="48"/>
      <c r="E57" s="47"/>
      <c r="F57" s="1"/>
      <c r="G57" s="48"/>
      <c r="H57" s="47"/>
      <c r="I57" s="48"/>
      <c r="J57" s="1"/>
      <c r="K57" s="48"/>
    </row>
    <row r="58" spans="1:11" ht="15.75" customHeight="1">
      <c r="A58" s="1"/>
      <c r="B58" s="47"/>
      <c r="C58" s="47"/>
      <c r="D58" s="48"/>
      <c r="E58" s="47"/>
      <c r="F58" s="1"/>
      <c r="G58" s="48"/>
      <c r="H58" s="47"/>
      <c r="I58" s="48"/>
      <c r="J58" s="1"/>
      <c r="K58" s="48"/>
    </row>
    <row r="59" spans="1:11" ht="15.75" customHeight="1">
      <c r="A59" s="51"/>
      <c r="B59" s="52"/>
      <c r="C59" s="170" t="s">
        <v>107</v>
      </c>
      <c r="D59" s="124"/>
      <c r="E59" s="170" t="s">
        <v>108</v>
      </c>
      <c r="F59" s="125"/>
      <c r="G59" s="124"/>
      <c r="H59" s="170" t="s">
        <v>109</v>
      </c>
      <c r="I59" s="124"/>
      <c r="J59" s="170" t="s">
        <v>110</v>
      </c>
      <c r="K59" s="124"/>
    </row>
    <row r="60" spans="1:11" ht="15.75" customHeight="1">
      <c r="A60" s="1"/>
      <c r="B60" s="53"/>
      <c r="C60" s="169"/>
      <c r="D60" s="128"/>
      <c r="E60" s="169" t="s">
        <v>111</v>
      </c>
      <c r="F60" s="132"/>
      <c r="G60" s="128"/>
      <c r="H60" s="169" t="s">
        <v>112</v>
      </c>
      <c r="I60" s="128"/>
      <c r="J60" s="169" t="s">
        <v>113</v>
      </c>
      <c r="K60" s="128"/>
    </row>
    <row r="61" spans="1:11" ht="15.75" customHeight="1">
      <c r="A61" s="1"/>
      <c r="B61" s="1"/>
      <c r="C61" s="2"/>
      <c r="D61" s="2"/>
      <c r="E61" s="2"/>
      <c r="F61" s="2"/>
      <c r="G61" s="2"/>
      <c r="H61" s="1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1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1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</row>
    <row r="260" spans="1:11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</row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40:F40"/>
    <mergeCell ref="H41:K41"/>
    <mergeCell ref="H42:K44"/>
    <mergeCell ref="I35:K35"/>
    <mergeCell ref="I36:K36"/>
    <mergeCell ref="I37:K37"/>
    <mergeCell ref="H46:H47"/>
    <mergeCell ref="I38:K38"/>
    <mergeCell ref="I39:K39"/>
    <mergeCell ref="I30:K30"/>
    <mergeCell ref="I31:K31"/>
    <mergeCell ref="I32:K32"/>
    <mergeCell ref="I33:K33"/>
    <mergeCell ref="I34:K34"/>
    <mergeCell ref="I25:K25"/>
    <mergeCell ref="I26:K26"/>
    <mergeCell ref="I27:K27"/>
    <mergeCell ref="I28:K28"/>
    <mergeCell ref="I29:K29"/>
    <mergeCell ref="I20:K20"/>
    <mergeCell ref="I21:K21"/>
    <mergeCell ref="I22:K22"/>
    <mergeCell ref="I23:K23"/>
    <mergeCell ref="I24:K24"/>
    <mergeCell ref="I15:K15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J59:K59"/>
    <mergeCell ref="B2:D5"/>
    <mergeCell ref="E2:H3"/>
    <mergeCell ref="I2:K3"/>
    <mergeCell ref="E4:H4"/>
    <mergeCell ref="I4:K6"/>
    <mergeCell ref="F5:H5"/>
    <mergeCell ref="F6:H6"/>
    <mergeCell ref="B6:D6"/>
    <mergeCell ref="B7:B8"/>
    <mergeCell ref="C7:D7"/>
    <mergeCell ref="E7:F8"/>
    <mergeCell ref="G7:G8"/>
    <mergeCell ref="H7:H8"/>
    <mergeCell ref="I7:K8"/>
    <mergeCell ref="I9:K9"/>
    <mergeCell ref="C60:D60"/>
    <mergeCell ref="E60:G60"/>
    <mergeCell ref="H60:I60"/>
    <mergeCell ref="J60:K60"/>
    <mergeCell ref="I48:J48"/>
    <mergeCell ref="I49:J49"/>
    <mergeCell ref="I50:J50"/>
    <mergeCell ref="I51:J51"/>
    <mergeCell ref="I52:J52"/>
    <mergeCell ref="C54:D54"/>
    <mergeCell ref="E54:G54"/>
    <mergeCell ref="H54:I54"/>
    <mergeCell ref="J54:K54"/>
    <mergeCell ref="C59:D59"/>
    <mergeCell ref="E59:G59"/>
    <mergeCell ref="H59:I59"/>
  </mergeCells>
  <pageMargins left="0.7" right="0.7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00"/>
  <sheetViews>
    <sheetView showGridLines="0" workbookViewId="0"/>
  </sheetViews>
  <sheetFormatPr defaultColWidth="14.44140625" defaultRowHeight="15" customHeight="1"/>
  <cols>
    <col min="1" max="1" width="2.21875" customWidth="1"/>
    <col min="2" max="2" width="23.44140625" customWidth="1"/>
    <col min="3" max="3" width="13.44140625" customWidth="1"/>
    <col min="4" max="4" width="12.44140625" customWidth="1"/>
    <col min="5" max="6" width="8.77734375" customWidth="1"/>
    <col min="7" max="7" width="9.77734375" customWidth="1"/>
    <col min="8" max="8" width="35" customWidth="1"/>
    <col min="9" max="9" width="8.77734375" customWidth="1"/>
    <col min="10" max="10" width="18.77734375" customWidth="1"/>
    <col min="11" max="11" width="23.77734375" customWidth="1"/>
    <col min="12" max="26" width="14" customWidth="1"/>
  </cols>
  <sheetData>
    <row r="1" spans="1:11" ht="14.4">
      <c r="A1" s="1"/>
      <c r="B1" s="1"/>
      <c r="C1" s="2"/>
      <c r="D1" s="2"/>
      <c r="E1" s="2"/>
      <c r="F1" s="2"/>
      <c r="G1" s="2"/>
      <c r="H1" s="9"/>
      <c r="I1" s="1"/>
      <c r="J1" s="1"/>
      <c r="K1" s="1"/>
    </row>
    <row r="2" spans="1:11" ht="14.4">
      <c r="A2" s="1"/>
      <c r="B2" s="145"/>
      <c r="C2" s="134"/>
      <c r="D2" s="148"/>
      <c r="E2" s="143" t="s">
        <v>0</v>
      </c>
      <c r="F2" s="134"/>
      <c r="G2" s="134"/>
      <c r="H2" s="148"/>
      <c r="I2" s="143" t="s">
        <v>1</v>
      </c>
      <c r="J2" s="134"/>
      <c r="K2" s="135"/>
    </row>
    <row r="3" spans="1:11" ht="14.4">
      <c r="A3" s="1"/>
      <c r="B3" s="130"/>
      <c r="C3" s="125"/>
      <c r="D3" s="173"/>
      <c r="E3" s="149"/>
      <c r="F3" s="147"/>
      <c r="G3" s="147"/>
      <c r="H3" s="150"/>
      <c r="I3" s="149"/>
      <c r="J3" s="147"/>
      <c r="K3" s="152"/>
    </row>
    <row r="4" spans="1:11" ht="14.4">
      <c r="A4" s="1"/>
      <c r="B4" s="130"/>
      <c r="C4" s="125"/>
      <c r="D4" s="173"/>
      <c r="E4" s="153" t="s">
        <v>46</v>
      </c>
      <c r="F4" s="154"/>
      <c r="G4" s="154"/>
      <c r="H4" s="155"/>
      <c r="I4" s="174" t="s">
        <v>116</v>
      </c>
      <c r="J4" s="157"/>
      <c r="K4" s="158"/>
    </row>
    <row r="5" spans="1:11" ht="14.4">
      <c r="A5" s="1"/>
      <c r="B5" s="146"/>
      <c r="C5" s="147"/>
      <c r="D5" s="150"/>
      <c r="E5" s="6" t="s">
        <v>2</v>
      </c>
      <c r="F5" s="79" t="s">
        <v>48</v>
      </c>
      <c r="G5" s="6"/>
      <c r="H5" s="83"/>
      <c r="I5" s="175"/>
      <c r="J5" s="125"/>
      <c r="K5" s="124"/>
    </row>
    <row r="6" spans="1:11" ht="14.4">
      <c r="A6" s="1"/>
      <c r="B6" s="179" t="s">
        <v>49</v>
      </c>
      <c r="C6" s="177"/>
      <c r="D6" s="178"/>
      <c r="E6" s="54" t="s">
        <v>4</v>
      </c>
      <c r="F6" s="176">
        <v>20230682322</v>
      </c>
      <c r="G6" s="177"/>
      <c r="H6" s="178"/>
      <c r="I6" s="144"/>
      <c r="J6" s="132"/>
      <c r="K6" s="128"/>
    </row>
    <row r="7" spans="1:11" ht="14.4">
      <c r="A7" s="1"/>
      <c r="B7" s="163" t="s">
        <v>5</v>
      </c>
      <c r="C7" s="165" t="s">
        <v>6</v>
      </c>
      <c r="D7" s="166"/>
      <c r="E7" s="145" t="s">
        <v>7</v>
      </c>
      <c r="F7" s="135"/>
      <c r="G7" s="180" t="s">
        <v>8</v>
      </c>
      <c r="H7" s="198" t="s">
        <v>9</v>
      </c>
      <c r="I7" s="151" t="s">
        <v>11</v>
      </c>
      <c r="J7" s="134"/>
      <c r="K7" s="135"/>
    </row>
    <row r="8" spans="1:11" ht="14.4">
      <c r="A8" s="1"/>
      <c r="B8" s="164"/>
      <c r="C8" s="8">
        <v>0.33333333333333331</v>
      </c>
      <c r="D8" s="55">
        <v>0.70833333333333337</v>
      </c>
      <c r="E8" s="131"/>
      <c r="F8" s="128"/>
      <c r="G8" s="132"/>
      <c r="H8" s="182"/>
      <c r="I8" s="132"/>
      <c r="J8" s="132"/>
      <c r="K8" s="128"/>
    </row>
    <row r="9" spans="1:11" ht="14.4">
      <c r="A9" s="1"/>
      <c r="B9" s="92">
        <v>45181</v>
      </c>
      <c r="C9" s="85">
        <v>0.33333333333333331</v>
      </c>
      <c r="D9" s="86">
        <v>0.70833333333333337</v>
      </c>
      <c r="E9" s="81">
        <v>0.33541666666666664</v>
      </c>
      <c r="F9" s="81">
        <v>0.74097222222222225</v>
      </c>
      <c r="G9" s="61">
        <f t="shared" ref="G9:G38" si="0">IF(HOUR(F9-E9)&gt;=8,8,HOUR(F9-E9))</f>
        <v>8</v>
      </c>
      <c r="H9" s="93" t="s">
        <v>114</v>
      </c>
      <c r="I9" s="185" t="s">
        <v>117</v>
      </c>
      <c r="J9" s="154"/>
      <c r="K9" s="184"/>
    </row>
    <row r="10" spans="1:11" ht="14.4">
      <c r="A10" s="82"/>
      <c r="B10" s="92">
        <v>45182</v>
      </c>
      <c r="C10" s="88">
        <v>0.33333333333333331</v>
      </c>
      <c r="D10" s="89">
        <v>0.70833333333333337</v>
      </c>
      <c r="E10" s="81">
        <v>0.3298611111111111</v>
      </c>
      <c r="F10" s="81">
        <v>0.72499999999999998</v>
      </c>
      <c r="G10" s="84">
        <f t="shared" si="0"/>
        <v>8</v>
      </c>
      <c r="H10" s="93" t="s">
        <v>114</v>
      </c>
      <c r="I10" s="185" t="s">
        <v>118</v>
      </c>
      <c r="J10" s="154"/>
      <c r="K10" s="184"/>
    </row>
    <row r="11" spans="1:11" ht="14.4">
      <c r="A11" s="1"/>
      <c r="B11" s="92">
        <v>45183</v>
      </c>
      <c r="C11" s="85">
        <v>0.33333333333333331</v>
      </c>
      <c r="D11" s="86">
        <v>0.70833333333333337</v>
      </c>
      <c r="E11" s="81">
        <v>0.3263888888888889</v>
      </c>
      <c r="F11" s="81">
        <v>0.73819444444444449</v>
      </c>
      <c r="G11" s="87">
        <f t="shared" si="0"/>
        <v>8</v>
      </c>
      <c r="H11" s="93" t="s">
        <v>114</v>
      </c>
      <c r="I11" s="185" t="s">
        <v>119</v>
      </c>
      <c r="J11" s="154"/>
      <c r="K11" s="184"/>
    </row>
    <row r="12" spans="1:11" ht="14.4">
      <c r="A12" s="1"/>
      <c r="B12" s="92">
        <v>45184</v>
      </c>
      <c r="C12" s="88">
        <v>0.33333333333333331</v>
      </c>
      <c r="D12" s="89">
        <v>0.70833333333333337</v>
      </c>
      <c r="E12" s="81">
        <v>0.32708333333333334</v>
      </c>
      <c r="F12" s="81">
        <v>0.72916666666666663</v>
      </c>
      <c r="G12" s="87">
        <f t="shared" si="0"/>
        <v>8</v>
      </c>
      <c r="H12" s="93" t="s">
        <v>114</v>
      </c>
      <c r="I12" s="183" t="s">
        <v>120</v>
      </c>
      <c r="J12" s="154"/>
      <c r="K12" s="184"/>
    </row>
    <row r="13" spans="1:11" ht="21.75" customHeight="1">
      <c r="A13" s="1"/>
      <c r="B13" s="80">
        <v>45185</v>
      </c>
      <c r="C13" s="6" t="s">
        <v>12</v>
      </c>
      <c r="D13" s="5" t="s">
        <v>12</v>
      </c>
      <c r="E13" s="94"/>
      <c r="F13" s="94"/>
      <c r="G13" s="5">
        <f t="shared" si="0"/>
        <v>0</v>
      </c>
      <c r="H13" s="83"/>
      <c r="I13" s="183"/>
      <c r="J13" s="154"/>
      <c r="K13" s="184"/>
    </row>
    <row r="14" spans="1:11" ht="21.75" customHeight="1">
      <c r="A14" s="1"/>
      <c r="B14" s="80">
        <v>45186</v>
      </c>
      <c r="C14" s="85" t="s">
        <v>12</v>
      </c>
      <c r="D14" s="85" t="s">
        <v>12</v>
      </c>
      <c r="E14" s="81"/>
      <c r="F14" s="81"/>
      <c r="G14" s="6">
        <f t="shared" si="0"/>
        <v>0</v>
      </c>
      <c r="H14" s="83"/>
      <c r="I14" s="185"/>
      <c r="J14" s="154"/>
      <c r="K14" s="184"/>
    </row>
    <row r="15" spans="1:11" ht="14.4">
      <c r="A15" s="1"/>
      <c r="B15" s="92">
        <v>45187</v>
      </c>
      <c r="C15" s="85">
        <v>0.33333333333333331</v>
      </c>
      <c r="D15" s="85">
        <v>0.70833333333333337</v>
      </c>
      <c r="E15" s="81">
        <v>0.3298611111111111</v>
      </c>
      <c r="F15" s="81">
        <v>0.72291666666666665</v>
      </c>
      <c r="G15" s="6">
        <f t="shared" si="0"/>
        <v>8</v>
      </c>
      <c r="H15" s="93" t="s">
        <v>51</v>
      </c>
      <c r="I15" s="185" t="s">
        <v>121</v>
      </c>
      <c r="J15" s="154"/>
      <c r="K15" s="184"/>
    </row>
    <row r="16" spans="1:11" ht="20.25" customHeight="1">
      <c r="A16" s="1"/>
      <c r="B16" s="92">
        <v>45188</v>
      </c>
      <c r="C16" s="85">
        <v>0.33333333333333331</v>
      </c>
      <c r="D16" s="85">
        <v>0.70833333333333337</v>
      </c>
      <c r="E16" s="81"/>
      <c r="F16" s="81"/>
      <c r="G16" s="6">
        <f t="shared" si="0"/>
        <v>0</v>
      </c>
      <c r="H16" s="93" t="s">
        <v>122</v>
      </c>
      <c r="I16" s="185" t="s">
        <v>123</v>
      </c>
      <c r="J16" s="154"/>
      <c r="K16" s="184"/>
    </row>
    <row r="17" spans="1:11" ht="14.4">
      <c r="A17" s="1"/>
      <c r="B17" s="92">
        <v>45189</v>
      </c>
      <c r="C17" s="88">
        <v>0.33333333333333331</v>
      </c>
      <c r="D17" s="89">
        <v>0.70833333333333337</v>
      </c>
      <c r="E17" s="81">
        <v>0.33333333333333331</v>
      </c>
      <c r="F17" s="81">
        <v>0.75486111111111109</v>
      </c>
      <c r="G17" s="6">
        <f t="shared" si="0"/>
        <v>8</v>
      </c>
      <c r="H17" s="93" t="s">
        <v>51</v>
      </c>
      <c r="I17" s="199" t="s">
        <v>124</v>
      </c>
      <c r="J17" s="154"/>
      <c r="K17" s="184"/>
    </row>
    <row r="18" spans="1:11" ht="14.4">
      <c r="A18" s="1"/>
      <c r="B18" s="92">
        <v>45190</v>
      </c>
      <c r="C18" s="85">
        <v>0.33333333333333331</v>
      </c>
      <c r="D18" s="85">
        <v>0.70833333333333337</v>
      </c>
      <c r="E18" s="81">
        <v>0.32916666666666666</v>
      </c>
      <c r="F18" s="81">
        <v>0.74444444444444446</v>
      </c>
      <c r="G18" s="6">
        <f t="shared" si="0"/>
        <v>8</v>
      </c>
      <c r="H18" s="93" t="s">
        <v>51</v>
      </c>
      <c r="I18" s="185" t="s">
        <v>121</v>
      </c>
      <c r="J18" s="154"/>
      <c r="K18" s="184"/>
    </row>
    <row r="19" spans="1:11" ht="14.4">
      <c r="A19" s="1"/>
      <c r="B19" s="92">
        <v>45191</v>
      </c>
      <c r="C19" s="88">
        <v>0.33333333333333331</v>
      </c>
      <c r="D19" s="89">
        <v>0.70833333333333337</v>
      </c>
      <c r="E19" s="81">
        <v>0.32847222222222222</v>
      </c>
      <c r="F19" s="81">
        <v>0.74513888888888891</v>
      </c>
      <c r="G19" s="6">
        <f t="shared" si="0"/>
        <v>8</v>
      </c>
      <c r="H19" s="93" t="s">
        <v>51</v>
      </c>
      <c r="I19" s="185" t="s">
        <v>125</v>
      </c>
      <c r="J19" s="154"/>
      <c r="K19" s="184"/>
    </row>
    <row r="20" spans="1:11" ht="21.75" customHeight="1">
      <c r="A20" s="1"/>
      <c r="B20" s="80">
        <v>45192</v>
      </c>
      <c r="C20" s="6" t="s">
        <v>12</v>
      </c>
      <c r="D20" s="5" t="s">
        <v>12</v>
      </c>
      <c r="E20" s="90"/>
      <c r="F20" s="90"/>
      <c r="G20" s="6">
        <f t="shared" si="0"/>
        <v>0</v>
      </c>
      <c r="H20" s="83"/>
      <c r="I20" s="185"/>
      <c r="J20" s="154"/>
      <c r="K20" s="184"/>
    </row>
    <row r="21" spans="1:11" ht="21.75" customHeight="1">
      <c r="A21" s="1"/>
      <c r="B21" s="80">
        <v>45193</v>
      </c>
      <c r="C21" s="6" t="s">
        <v>12</v>
      </c>
      <c r="D21" s="5" t="s">
        <v>12</v>
      </c>
      <c r="E21" s="81"/>
      <c r="F21" s="81"/>
      <c r="G21" s="6">
        <f t="shared" si="0"/>
        <v>0</v>
      </c>
      <c r="H21" s="83"/>
      <c r="I21" s="185"/>
      <c r="J21" s="154"/>
      <c r="K21" s="184"/>
    </row>
    <row r="22" spans="1:11" ht="15.75" customHeight="1">
      <c r="A22" s="1"/>
      <c r="B22" s="92">
        <v>45194</v>
      </c>
      <c r="C22" s="85">
        <v>0.33333333333333331</v>
      </c>
      <c r="D22" s="85">
        <v>0.70833333333333337</v>
      </c>
      <c r="E22" s="81">
        <v>0.3263888888888889</v>
      </c>
      <c r="F22" s="81">
        <v>0.72916666666666663</v>
      </c>
      <c r="G22" s="6">
        <f t="shared" si="0"/>
        <v>8</v>
      </c>
      <c r="H22" s="93" t="s">
        <v>51</v>
      </c>
      <c r="I22" s="185" t="s">
        <v>126</v>
      </c>
      <c r="J22" s="154"/>
      <c r="K22" s="184"/>
    </row>
    <row r="23" spans="1:11" ht="15.75" customHeight="1">
      <c r="A23" s="1"/>
      <c r="B23" s="92">
        <v>45195</v>
      </c>
      <c r="C23" s="85">
        <v>0.33333333333333331</v>
      </c>
      <c r="D23" s="86">
        <v>0.70833333333333337</v>
      </c>
      <c r="E23" s="81">
        <v>0.3215277777777778</v>
      </c>
      <c r="F23" s="81">
        <v>0.71944444444444444</v>
      </c>
      <c r="G23" s="6">
        <f t="shared" si="0"/>
        <v>8</v>
      </c>
      <c r="H23" s="93" t="s">
        <v>51</v>
      </c>
      <c r="I23" s="185" t="s">
        <v>127</v>
      </c>
      <c r="J23" s="154"/>
      <c r="K23" s="184"/>
    </row>
    <row r="24" spans="1:11" ht="15.75" customHeight="1">
      <c r="A24" s="1"/>
      <c r="B24" s="92">
        <v>45196</v>
      </c>
      <c r="C24" s="85">
        <v>0.33333333333333331</v>
      </c>
      <c r="D24" s="86">
        <v>0.70833333333333337</v>
      </c>
      <c r="E24" s="81">
        <v>0.32500000000000001</v>
      </c>
      <c r="F24" s="81">
        <v>0.71875</v>
      </c>
      <c r="G24" s="6">
        <f t="shared" si="0"/>
        <v>8</v>
      </c>
      <c r="H24" s="93" t="s">
        <v>51</v>
      </c>
      <c r="I24" s="185" t="s">
        <v>128</v>
      </c>
      <c r="J24" s="154"/>
      <c r="K24" s="184"/>
    </row>
    <row r="25" spans="1:11" ht="21.75" customHeight="1">
      <c r="A25" s="1"/>
      <c r="B25" s="80">
        <v>45197</v>
      </c>
      <c r="C25" s="6" t="s">
        <v>12</v>
      </c>
      <c r="D25" s="6" t="s">
        <v>12</v>
      </c>
      <c r="E25" s="81"/>
      <c r="F25" s="81"/>
      <c r="G25" s="6">
        <f t="shared" si="0"/>
        <v>0</v>
      </c>
      <c r="H25" s="83"/>
      <c r="I25" s="185"/>
      <c r="J25" s="154"/>
      <c r="K25" s="184"/>
    </row>
    <row r="26" spans="1:11" ht="31.5" customHeight="1">
      <c r="A26" s="1"/>
      <c r="B26" s="92">
        <v>45198</v>
      </c>
      <c r="C26" s="85">
        <v>0.33333333333333331</v>
      </c>
      <c r="D26" s="85">
        <v>0.70833333333333337</v>
      </c>
      <c r="E26" s="81">
        <v>0.33263888888888887</v>
      </c>
      <c r="F26" s="81">
        <v>0.72916666666666663</v>
      </c>
      <c r="G26" s="6">
        <f t="shared" si="0"/>
        <v>8</v>
      </c>
      <c r="H26" s="93" t="s">
        <v>51</v>
      </c>
      <c r="I26" s="185" t="s">
        <v>128</v>
      </c>
      <c r="J26" s="154"/>
      <c r="K26" s="184"/>
    </row>
    <row r="27" spans="1:11" ht="21.75" customHeight="1">
      <c r="A27" s="1"/>
      <c r="B27" s="80">
        <v>45199</v>
      </c>
      <c r="C27" s="6" t="s">
        <v>12</v>
      </c>
      <c r="D27" s="6" t="s">
        <v>12</v>
      </c>
      <c r="E27" s="90"/>
      <c r="F27" s="90"/>
      <c r="G27" s="6">
        <f t="shared" si="0"/>
        <v>0</v>
      </c>
      <c r="H27" s="83"/>
      <c r="I27" s="185"/>
      <c r="J27" s="154"/>
      <c r="K27" s="184"/>
    </row>
    <row r="28" spans="1:11" ht="21.75" customHeight="1">
      <c r="A28" s="1"/>
      <c r="B28" s="80">
        <v>45200</v>
      </c>
      <c r="C28" s="6" t="s">
        <v>12</v>
      </c>
      <c r="D28" s="6" t="s">
        <v>12</v>
      </c>
      <c r="E28" s="81"/>
      <c r="F28" s="81"/>
      <c r="G28" s="6">
        <f t="shared" si="0"/>
        <v>0</v>
      </c>
      <c r="H28" s="83"/>
      <c r="I28" s="185"/>
      <c r="J28" s="154"/>
      <c r="K28" s="184"/>
    </row>
    <row r="29" spans="1:11" ht="29.25" customHeight="1">
      <c r="A29" s="1"/>
      <c r="B29" s="92">
        <v>45201</v>
      </c>
      <c r="C29" s="85">
        <v>0.33333333333333331</v>
      </c>
      <c r="D29" s="85">
        <v>0.70833333333333337</v>
      </c>
      <c r="E29" s="81">
        <v>0.33055555555555555</v>
      </c>
      <c r="F29" s="81">
        <v>0.73750000000000004</v>
      </c>
      <c r="G29" s="6">
        <f t="shared" si="0"/>
        <v>8</v>
      </c>
      <c r="H29" s="93" t="s">
        <v>51</v>
      </c>
      <c r="I29" s="185" t="s">
        <v>128</v>
      </c>
      <c r="J29" s="154"/>
      <c r="K29" s="184"/>
    </row>
    <row r="30" spans="1:11" ht="15.75" customHeight="1">
      <c r="A30" s="1"/>
      <c r="B30" s="92">
        <v>45202</v>
      </c>
      <c r="C30" s="85">
        <v>0.33333333333333331</v>
      </c>
      <c r="D30" s="85">
        <v>0.70833333333333337</v>
      </c>
      <c r="E30" s="81">
        <v>0.32291666666666669</v>
      </c>
      <c r="F30" s="81">
        <v>0.72777777777777775</v>
      </c>
      <c r="G30" s="6">
        <f t="shared" si="0"/>
        <v>8</v>
      </c>
      <c r="H30" s="93" t="s">
        <v>51</v>
      </c>
      <c r="I30" s="185" t="s">
        <v>128</v>
      </c>
      <c r="J30" s="154"/>
      <c r="K30" s="184"/>
    </row>
    <row r="31" spans="1:11" ht="15.75" customHeight="1">
      <c r="A31" s="1"/>
      <c r="B31" s="92">
        <v>45203</v>
      </c>
      <c r="C31" s="85">
        <v>0.33333333333333331</v>
      </c>
      <c r="D31" s="85">
        <v>0.70833333333333337</v>
      </c>
      <c r="E31" s="81">
        <v>0.32847222222222222</v>
      </c>
      <c r="F31" s="81">
        <v>0.74583333333333335</v>
      </c>
      <c r="G31" s="6">
        <f t="shared" si="0"/>
        <v>8</v>
      </c>
      <c r="H31" s="93" t="s">
        <v>51</v>
      </c>
      <c r="I31" s="185" t="s">
        <v>128</v>
      </c>
      <c r="J31" s="154"/>
      <c r="K31" s="184"/>
    </row>
    <row r="32" spans="1:11" ht="15.75" customHeight="1">
      <c r="A32" s="1"/>
      <c r="B32" s="92">
        <v>45204</v>
      </c>
      <c r="C32" s="85">
        <v>0.33333333333333331</v>
      </c>
      <c r="D32" s="85">
        <v>0.70833333333333337</v>
      </c>
      <c r="E32" s="81">
        <v>0.3263888888888889</v>
      </c>
      <c r="F32" s="81">
        <v>0.73333333333333328</v>
      </c>
      <c r="G32" s="6">
        <f t="shared" si="0"/>
        <v>8</v>
      </c>
      <c r="H32" s="93" t="s">
        <v>51</v>
      </c>
      <c r="I32" s="185" t="s">
        <v>128</v>
      </c>
      <c r="J32" s="154"/>
      <c r="K32" s="184"/>
    </row>
    <row r="33" spans="1:11" ht="15.75" customHeight="1">
      <c r="A33" s="1"/>
      <c r="B33" s="92">
        <v>45205</v>
      </c>
      <c r="C33" s="85">
        <v>0.33333333333333331</v>
      </c>
      <c r="D33" s="85">
        <v>0.70833333333333337</v>
      </c>
      <c r="E33" s="81">
        <v>0.32222222222222224</v>
      </c>
      <c r="F33" s="81">
        <v>0.80069444444444449</v>
      </c>
      <c r="G33" s="6">
        <f t="shared" si="0"/>
        <v>8</v>
      </c>
      <c r="H33" s="93" t="s">
        <v>51</v>
      </c>
      <c r="I33" s="185" t="s">
        <v>129</v>
      </c>
      <c r="J33" s="154"/>
      <c r="K33" s="184"/>
    </row>
    <row r="34" spans="1:11" ht="21.75" customHeight="1">
      <c r="A34" s="1"/>
      <c r="B34" s="80">
        <v>45206</v>
      </c>
      <c r="C34" s="6" t="s">
        <v>12</v>
      </c>
      <c r="D34" s="6" t="s">
        <v>12</v>
      </c>
      <c r="E34" s="81"/>
      <c r="F34" s="81"/>
      <c r="G34" s="6">
        <f t="shared" si="0"/>
        <v>0</v>
      </c>
      <c r="H34" s="83"/>
      <c r="I34" s="185"/>
      <c r="J34" s="154"/>
      <c r="K34" s="184"/>
    </row>
    <row r="35" spans="1:11" ht="21.75" customHeight="1">
      <c r="A35" s="1"/>
      <c r="B35" s="80">
        <v>45207</v>
      </c>
      <c r="C35" s="6" t="s">
        <v>12</v>
      </c>
      <c r="D35" s="6" t="s">
        <v>12</v>
      </c>
      <c r="E35" s="81"/>
      <c r="F35" s="81"/>
      <c r="G35" s="6">
        <f t="shared" si="0"/>
        <v>0</v>
      </c>
      <c r="H35" s="83"/>
      <c r="I35" s="185"/>
      <c r="J35" s="154"/>
      <c r="K35" s="184"/>
    </row>
    <row r="36" spans="1:11" ht="21.75" customHeight="1">
      <c r="A36" s="1"/>
      <c r="B36" s="92">
        <v>45208</v>
      </c>
      <c r="C36" s="85">
        <v>0.33333333333333331</v>
      </c>
      <c r="D36" s="85">
        <v>0.70833333333333337</v>
      </c>
      <c r="E36" s="81"/>
      <c r="F36" s="81"/>
      <c r="G36" s="6">
        <f t="shared" si="0"/>
        <v>0</v>
      </c>
      <c r="H36" s="93" t="s">
        <v>115</v>
      </c>
      <c r="I36" s="185" t="s">
        <v>130</v>
      </c>
      <c r="J36" s="154"/>
      <c r="K36" s="184"/>
    </row>
    <row r="37" spans="1:11" ht="15.75" customHeight="1">
      <c r="A37" s="1"/>
      <c r="B37" s="92">
        <v>45209</v>
      </c>
      <c r="C37" s="85">
        <v>0.33333333333333331</v>
      </c>
      <c r="D37" s="85">
        <v>0.70833333333333337</v>
      </c>
      <c r="E37" s="81">
        <v>0.32708333333333334</v>
      </c>
      <c r="F37" s="81">
        <v>0.71944444444444444</v>
      </c>
      <c r="G37" s="6">
        <f t="shared" si="0"/>
        <v>8</v>
      </c>
      <c r="H37" s="93" t="s">
        <v>114</v>
      </c>
      <c r="I37" s="185" t="s">
        <v>131</v>
      </c>
      <c r="J37" s="154"/>
      <c r="K37" s="184"/>
    </row>
    <row r="38" spans="1:11" ht="15.75" customHeight="1">
      <c r="A38" s="1"/>
      <c r="B38" s="92">
        <v>45210</v>
      </c>
      <c r="C38" s="85">
        <v>0.33333333333333331</v>
      </c>
      <c r="D38" s="85">
        <v>0.70833333333333337</v>
      </c>
      <c r="E38" s="81">
        <v>0.32777777777777778</v>
      </c>
      <c r="F38" s="81">
        <v>0.72361111111111109</v>
      </c>
      <c r="G38" s="6">
        <f t="shared" si="0"/>
        <v>8</v>
      </c>
      <c r="H38" s="93" t="s">
        <v>114</v>
      </c>
      <c r="I38" s="185" t="s">
        <v>132</v>
      </c>
      <c r="J38" s="154"/>
      <c r="K38" s="184"/>
    </row>
    <row r="39" spans="1:11" ht="18" customHeight="1">
      <c r="A39" s="1"/>
      <c r="B39" s="192" t="s">
        <v>13</v>
      </c>
      <c r="C39" s="132"/>
      <c r="D39" s="132"/>
      <c r="E39" s="132"/>
      <c r="F39" s="167"/>
      <c r="G39" s="91">
        <f>SUM(G9:G38)</f>
        <v>152</v>
      </c>
      <c r="H39" s="9"/>
      <c r="I39" s="1"/>
      <c r="J39" s="1"/>
      <c r="K39" s="1"/>
    </row>
    <row r="40" spans="1:11" ht="18" customHeight="1">
      <c r="A40" s="1"/>
      <c r="B40" s="21" t="s">
        <v>14</v>
      </c>
      <c r="C40" s="22"/>
      <c r="D40" s="22"/>
      <c r="E40" s="22"/>
      <c r="F40" s="22"/>
      <c r="G40" s="23"/>
      <c r="H40" s="193" t="s">
        <v>15</v>
      </c>
      <c r="I40" s="134"/>
      <c r="J40" s="134"/>
      <c r="K40" s="135"/>
    </row>
    <row r="41" spans="1:11" ht="20.25" customHeight="1">
      <c r="A41" s="1"/>
      <c r="B41" s="24" t="s">
        <v>133</v>
      </c>
      <c r="C41" s="25"/>
      <c r="D41" s="25"/>
      <c r="E41" s="25"/>
      <c r="F41" s="25"/>
      <c r="G41" s="26">
        <v>21</v>
      </c>
      <c r="H41" s="194" t="s">
        <v>17</v>
      </c>
      <c r="I41" s="125"/>
      <c r="J41" s="125"/>
      <c r="K41" s="124"/>
    </row>
    <row r="42" spans="1:11" ht="20.25" customHeight="1">
      <c r="A42" s="1"/>
      <c r="B42" s="24" t="s">
        <v>134</v>
      </c>
      <c r="C42" s="25"/>
      <c r="D42" s="25"/>
      <c r="E42" s="25"/>
      <c r="F42" s="25"/>
      <c r="G42" s="27">
        <v>9</v>
      </c>
      <c r="H42" s="125"/>
      <c r="I42" s="125"/>
      <c r="J42" s="125"/>
      <c r="K42" s="124"/>
    </row>
    <row r="43" spans="1:11" ht="20.25" customHeight="1">
      <c r="A43" s="1"/>
      <c r="B43" s="24" t="s">
        <v>135</v>
      </c>
      <c r="C43" s="25"/>
      <c r="D43" s="25"/>
      <c r="E43" s="25"/>
      <c r="F43" s="25"/>
      <c r="G43" s="27">
        <v>1</v>
      </c>
      <c r="H43" s="132"/>
      <c r="I43" s="132"/>
      <c r="J43" s="132"/>
      <c r="K43" s="128"/>
    </row>
    <row r="44" spans="1:11" ht="20.25" customHeight="1">
      <c r="A44" s="1"/>
      <c r="B44" s="24" t="s">
        <v>136</v>
      </c>
      <c r="C44" s="25"/>
      <c r="D44" s="25"/>
      <c r="E44" s="25"/>
      <c r="F44" s="25"/>
      <c r="G44" s="27" t="s">
        <v>12</v>
      </c>
      <c r="H44" s="95" t="s">
        <v>21</v>
      </c>
      <c r="I44" s="19"/>
      <c r="J44" s="19"/>
      <c r="K44" s="20"/>
    </row>
    <row r="45" spans="1:11" ht="20.25" customHeight="1">
      <c r="A45" s="1"/>
      <c r="B45" s="24" t="s">
        <v>137</v>
      </c>
      <c r="C45" s="25"/>
      <c r="D45" s="25"/>
      <c r="E45" s="25"/>
      <c r="F45" s="25"/>
      <c r="G45" s="27" t="s">
        <v>12</v>
      </c>
      <c r="H45" s="194" t="s">
        <v>23</v>
      </c>
      <c r="I45" s="1"/>
      <c r="J45" s="1"/>
      <c r="K45" s="48"/>
    </row>
    <row r="46" spans="1:11" ht="20.25" customHeight="1">
      <c r="A46" s="1"/>
      <c r="B46" s="24" t="s">
        <v>138</v>
      </c>
      <c r="C46" s="25"/>
      <c r="D46" s="25"/>
      <c r="E46" s="25"/>
      <c r="F46" s="25"/>
      <c r="G46" s="27">
        <v>19</v>
      </c>
      <c r="H46" s="132"/>
      <c r="I46" s="1"/>
      <c r="J46" s="1"/>
      <c r="K46" s="48"/>
    </row>
    <row r="47" spans="1:11" ht="20.25" customHeight="1">
      <c r="A47" s="1"/>
      <c r="B47" s="24" t="s">
        <v>139</v>
      </c>
      <c r="C47" s="25"/>
      <c r="D47" s="25"/>
      <c r="E47" s="25"/>
      <c r="F47" s="25"/>
      <c r="G47" s="29">
        <f>G46/G41</f>
        <v>0.90476190476190477</v>
      </c>
      <c r="H47" s="96" t="s">
        <v>26</v>
      </c>
      <c r="I47" s="139" t="s">
        <v>27</v>
      </c>
      <c r="J47" s="140"/>
      <c r="K47" s="32" t="s">
        <v>28</v>
      </c>
    </row>
    <row r="48" spans="1:11" ht="24" customHeight="1">
      <c r="A48" s="1"/>
      <c r="B48" s="33" t="s">
        <v>14</v>
      </c>
      <c r="C48" s="25"/>
      <c r="D48" s="25"/>
      <c r="E48" s="25"/>
      <c r="F48" s="25"/>
      <c r="G48" s="34"/>
      <c r="H48" s="97" t="s">
        <v>29</v>
      </c>
      <c r="I48" s="126" t="s">
        <v>29</v>
      </c>
      <c r="J48" s="124"/>
      <c r="K48" s="37" t="s">
        <v>29</v>
      </c>
    </row>
    <row r="49" spans="1:11" ht="24" customHeight="1">
      <c r="A49" s="1"/>
      <c r="B49" s="24" t="s">
        <v>140</v>
      </c>
      <c r="C49" s="2"/>
      <c r="D49" s="2"/>
      <c r="E49" s="2"/>
      <c r="F49" s="25"/>
      <c r="G49" s="27">
        <v>168</v>
      </c>
      <c r="H49" s="97" t="s">
        <v>31</v>
      </c>
      <c r="I49" s="126" t="s">
        <v>31</v>
      </c>
      <c r="J49" s="124"/>
      <c r="K49" s="37" t="s">
        <v>31</v>
      </c>
    </row>
    <row r="50" spans="1:11" ht="24" customHeight="1">
      <c r="A50" s="1"/>
      <c r="B50" s="24" t="s">
        <v>141</v>
      </c>
      <c r="C50" s="2"/>
      <c r="D50" s="2"/>
      <c r="E50" s="2"/>
      <c r="F50" s="2"/>
      <c r="G50" s="26">
        <f>G39</f>
        <v>152</v>
      </c>
      <c r="H50" s="97" t="s">
        <v>33</v>
      </c>
      <c r="I50" s="126" t="s">
        <v>33</v>
      </c>
      <c r="J50" s="124"/>
      <c r="K50" s="37" t="s">
        <v>33</v>
      </c>
    </row>
    <row r="51" spans="1:11" ht="24" customHeight="1">
      <c r="A51" s="1"/>
      <c r="B51" s="38" t="s">
        <v>142</v>
      </c>
      <c r="C51" s="39"/>
      <c r="D51" s="39"/>
      <c r="E51" s="39"/>
      <c r="F51" s="39"/>
      <c r="G51" s="40">
        <f>G50/G49</f>
        <v>0.90476190476190477</v>
      </c>
      <c r="H51" s="98" t="s">
        <v>35</v>
      </c>
      <c r="I51" s="127" t="s">
        <v>35</v>
      </c>
      <c r="J51" s="128"/>
      <c r="K51" s="43" t="s">
        <v>35</v>
      </c>
    </row>
    <row r="52" spans="1:11" ht="5.25" customHeight="1">
      <c r="A52" s="1"/>
      <c r="B52" s="44"/>
      <c r="C52" s="3"/>
      <c r="D52" s="45"/>
      <c r="E52" s="3"/>
      <c r="F52" s="4"/>
      <c r="G52" s="45"/>
      <c r="H52" s="99"/>
      <c r="I52" s="20"/>
      <c r="J52" s="19"/>
      <c r="K52" s="20"/>
    </row>
    <row r="53" spans="1:11" ht="15.75" customHeight="1">
      <c r="A53" s="1"/>
      <c r="B53" s="28" t="s">
        <v>5</v>
      </c>
      <c r="C53" s="122" t="s">
        <v>36</v>
      </c>
      <c r="D53" s="124"/>
      <c r="E53" s="122" t="s">
        <v>37</v>
      </c>
      <c r="F53" s="125"/>
      <c r="G53" s="124"/>
      <c r="H53" s="195" t="s">
        <v>38</v>
      </c>
      <c r="I53" s="124"/>
      <c r="J53" s="122" t="s">
        <v>106</v>
      </c>
      <c r="K53" s="124"/>
    </row>
    <row r="54" spans="1:11" ht="15.75" customHeight="1">
      <c r="A54" s="1"/>
      <c r="B54" s="47"/>
      <c r="C54" s="47"/>
      <c r="D54" s="48"/>
      <c r="E54" s="47"/>
      <c r="F54" s="1"/>
      <c r="G54" s="48"/>
      <c r="H54" s="100"/>
      <c r="I54" s="48"/>
      <c r="J54" s="1"/>
      <c r="K54" s="48"/>
    </row>
    <row r="55" spans="1:11" ht="15.75" customHeight="1">
      <c r="A55" s="1"/>
      <c r="B55" s="47"/>
      <c r="C55" s="47"/>
      <c r="D55" s="48"/>
      <c r="E55" s="47"/>
      <c r="F55" s="1"/>
      <c r="G55" s="48"/>
      <c r="H55" s="100"/>
      <c r="I55" s="48"/>
      <c r="J55" s="1"/>
      <c r="K55" s="48"/>
    </row>
    <row r="56" spans="1:11" ht="15.75" customHeight="1">
      <c r="A56" s="1"/>
      <c r="B56" s="78"/>
      <c r="C56" s="47"/>
      <c r="D56" s="48"/>
      <c r="E56" s="47"/>
      <c r="F56" s="1"/>
      <c r="G56" s="48"/>
      <c r="H56" s="100"/>
      <c r="I56" s="48"/>
      <c r="J56" s="1"/>
      <c r="K56" s="48"/>
    </row>
    <row r="57" spans="1:11" ht="15.75" customHeight="1">
      <c r="A57" s="1"/>
      <c r="B57" s="47"/>
      <c r="C57" s="47"/>
      <c r="D57" s="48"/>
      <c r="E57" s="47"/>
      <c r="F57" s="1"/>
      <c r="G57" s="48"/>
      <c r="H57" s="100"/>
      <c r="I57" s="48"/>
      <c r="J57" s="1"/>
      <c r="K57" s="48"/>
    </row>
    <row r="58" spans="1:11" ht="15.75" customHeight="1">
      <c r="A58" s="51"/>
      <c r="B58" s="52"/>
      <c r="C58" s="170" t="s">
        <v>143</v>
      </c>
      <c r="D58" s="124"/>
      <c r="E58" s="170" t="s">
        <v>108</v>
      </c>
      <c r="F58" s="125"/>
      <c r="G58" s="124"/>
      <c r="H58" s="196" t="s">
        <v>109</v>
      </c>
      <c r="I58" s="124"/>
      <c r="J58" s="170" t="s">
        <v>110</v>
      </c>
      <c r="K58" s="124"/>
    </row>
    <row r="59" spans="1:11" ht="15.75" customHeight="1">
      <c r="A59" s="1"/>
      <c r="B59" s="53"/>
      <c r="C59" s="169"/>
      <c r="D59" s="128"/>
      <c r="E59" s="169" t="s">
        <v>111</v>
      </c>
      <c r="F59" s="132"/>
      <c r="G59" s="128"/>
      <c r="H59" s="197" t="s">
        <v>112</v>
      </c>
      <c r="I59" s="128"/>
      <c r="J59" s="169" t="s">
        <v>113</v>
      </c>
      <c r="K59" s="128"/>
    </row>
    <row r="60" spans="1:11" ht="15.75" customHeight="1">
      <c r="A60" s="1"/>
      <c r="B60" s="1"/>
      <c r="C60" s="2"/>
      <c r="D60" s="2"/>
      <c r="E60" s="2"/>
      <c r="F60" s="2"/>
      <c r="G60" s="2"/>
      <c r="H60" s="9"/>
      <c r="I60" s="1"/>
      <c r="J60" s="1"/>
      <c r="K60" s="1"/>
    </row>
    <row r="61" spans="1:11" ht="15.75" customHeight="1">
      <c r="A61" s="1"/>
      <c r="B61" s="1"/>
      <c r="C61" s="2"/>
      <c r="D61" s="2"/>
      <c r="E61" s="2"/>
      <c r="F61" s="2"/>
      <c r="G61" s="2"/>
      <c r="H61" s="9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9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9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9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9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9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9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9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9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9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9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9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9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9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9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9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9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9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9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9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9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9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9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9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9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9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9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9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9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9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9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9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9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9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9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9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9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9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9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9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9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9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9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9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9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9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9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9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9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9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9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9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9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9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9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9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9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9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9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9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9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9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9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9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9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9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9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9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9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9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9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9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9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9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9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9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9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9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9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9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9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9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9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9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9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9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9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9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9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9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9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9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9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9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9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9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9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9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9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9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9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9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9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9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9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9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9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9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9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9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9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9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9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9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9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9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9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9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9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9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9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9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9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9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9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9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9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9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9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9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9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9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9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9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9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9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9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9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9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9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9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9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9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9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9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9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9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9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9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9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9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9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9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9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9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9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9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9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9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9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9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9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9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9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9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9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9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9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9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9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9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9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9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9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9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9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9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9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9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9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9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9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9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9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9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9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9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9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9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9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9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9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9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9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9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9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9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9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9"/>
      <c r="I259" s="1"/>
      <c r="J259" s="1"/>
      <c r="K259" s="1"/>
    </row>
    <row r="260" spans="1:11" ht="15.75" customHeight="1"/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I32:K32"/>
    <mergeCell ref="I33:K33"/>
    <mergeCell ref="I34:K34"/>
    <mergeCell ref="I27:K27"/>
    <mergeCell ref="I28:K28"/>
    <mergeCell ref="I29:K29"/>
    <mergeCell ref="I30:K30"/>
    <mergeCell ref="I31:K31"/>
    <mergeCell ref="I22:K22"/>
    <mergeCell ref="I23:K23"/>
    <mergeCell ref="I24:K24"/>
    <mergeCell ref="I25:K25"/>
    <mergeCell ref="I26:K26"/>
    <mergeCell ref="I17:K17"/>
    <mergeCell ref="I18:K18"/>
    <mergeCell ref="I19:K19"/>
    <mergeCell ref="I20:K20"/>
    <mergeCell ref="I21:K21"/>
    <mergeCell ref="I12:K12"/>
    <mergeCell ref="I13:K13"/>
    <mergeCell ref="I14:K14"/>
    <mergeCell ref="I15:K15"/>
    <mergeCell ref="I16:K16"/>
    <mergeCell ref="H7:H8"/>
    <mergeCell ref="I7:K8"/>
    <mergeCell ref="I9:K9"/>
    <mergeCell ref="I10:K10"/>
    <mergeCell ref="I11:K11"/>
    <mergeCell ref="B2:D5"/>
    <mergeCell ref="E2:H3"/>
    <mergeCell ref="I2:K3"/>
    <mergeCell ref="E4:H4"/>
    <mergeCell ref="I4:K6"/>
    <mergeCell ref="F6:H6"/>
    <mergeCell ref="C53:D53"/>
    <mergeCell ref="B6:D6"/>
    <mergeCell ref="C7:D7"/>
    <mergeCell ref="E7:F8"/>
    <mergeCell ref="G7:G8"/>
    <mergeCell ref="B7:B8"/>
    <mergeCell ref="C58:D58"/>
    <mergeCell ref="E58:G58"/>
    <mergeCell ref="H58:I58"/>
    <mergeCell ref="J58:K58"/>
    <mergeCell ref="C59:D59"/>
    <mergeCell ref="E59:G59"/>
    <mergeCell ref="H59:I59"/>
    <mergeCell ref="J59:K59"/>
    <mergeCell ref="H40:K40"/>
    <mergeCell ref="H41:K43"/>
    <mergeCell ref="E53:G53"/>
    <mergeCell ref="H53:I53"/>
    <mergeCell ref="J53:K53"/>
    <mergeCell ref="H45:H46"/>
    <mergeCell ref="I47:J47"/>
    <mergeCell ref="I48:J48"/>
    <mergeCell ref="I49:J49"/>
    <mergeCell ref="I50:J50"/>
    <mergeCell ref="I51:J51"/>
    <mergeCell ref="I35:K35"/>
    <mergeCell ref="I36:K36"/>
    <mergeCell ref="I37:K37"/>
    <mergeCell ref="I38:K38"/>
    <mergeCell ref="B39:F39"/>
  </mergeCells>
  <pageMargins left="0.7" right="0.7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 Juli - 23 Agustus 2026</vt:lpstr>
      <vt:lpstr>12 Juli - 11 Agustus 2023</vt:lpstr>
      <vt:lpstr>12 September - 11 Oktober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ATHALLAH</dc:creator>
  <cp:lastModifiedBy>Anggit Ari Utomo</cp:lastModifiedBy>
  <cp:lastPrinted>2026-07-24T01:13:51Z</cp:lastPrinted>
  <dcterms:created xsi:type="dcterms:W3CDTF">2025-01-15T07:56:02Z</dcterms:created>
  <dcterms:modified xsi:type="dcterms:W3CDTF">2026-09-04T07:38:42Z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a4fdcb616a764a9cbe69a4e8be0aaea9</vt:lpwstr>
  </property>
</Properties>
</file>